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4650"/>
  </bookViews>
  <sheets>
    <sheet name="台股" sheetId="1" r:id="rId1"/>
    <sheet name="匯率" sheetId="3" r:id="rId2"/>
    <sheet name="原則" sheetId="2" r:id="rId3"/>
  </sheets>
  <externalReferences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F27" i="1"/>
  <c r="E27" i="1"/>
  <c r="D27" i="1"/>
  <c r="O27" i="1" s="1"/>
  <c r="P27" i="1" s="1"/>
  <c r="G26" i="1"/>
  <c r="F26" i="1"/>
  <c r="E26" i="1"/>
  <c r="D26" i="1"/>
  <c r="G25" i="1"/>
  <c r="F25" i="1"/>
  <c r="E25" i="1"/>
  <c r="D25" i="1"/>
  <c r="G24" i="1"/>
  <c r="F24" i="1"/>
  <c r="E24" i="1"/>
  <c r="D24" i="1"/>
  <c r="G20" i="1"/>
  <c r="F20" i="1"/>
  <c r="E20" i="1"/>
  <c r="D20" i="1"/>
  <c r="G19" i="1"/>
  <c r="F19" i="1"/>
  <c r="E19" i="1"/>
  <c r="D19" i="1"/>
  <c r="G18" i="1"/>
  <c r="F18" i="1"/>
  <c r="E18" i="1"/>
  <c r="D18" i="1"/>
  <c r="G17" i="1"/>
  <c r="F17" i="1"/>
  <c r="E17" i="1"/>
  <c r="D17" i="1"/>
  <c r="G16" i="1"/>
  <c r="F16" i="1"/>
  <c r="E16" i="1"/>
  <c r="D16" i="1"/>
  <c r="G15" i="1"/>
  <c r="F15" i="1"/>
  <c r="E15" i="1"/>
  <c r="D15" i="1"/>
  <c r="O26" i="1" l="1"/>
  <c r="P26" i="1" s="1"/>
  <c r="L25" i="1" l="1"/>
  <c r="K25" i="1"/>
  <c r="O25" i="1"/>
  <c r="E10" i="1" l="1"/>
  <c r="L24" i="1" l="1"/>
  <c r="K24" i="1"/>
  <c r="O19" i="1"/>
  <c r="L19" i="1" l="1"/>
  <c r="I19" i="1"/>
  <c r="K19" i="1" s="1"/>
  <c r="L18" i="1" l="1"/>
  <c r="O18" i="1"/>
  <c r="L17" i="1"/>
  <c r="O17" i="1"/>
  <c r="I18" i="1"/>
  <c r="K18" i="1" s="1"/>
  <c r="I17" i="1"/>
  <c r="K17" i="1" s="1"/>
  <c r="O24" i="1" l="1"/>
  <c r="O16" i="1" l="1"/>
  <c r="L16" i="1" l="1"/>
  <c r="I16" i="1"/>
  <c r="K16" i="1" s="1"/>
  <c r="F10" i="1" l="1"/>
  <c r="L10" i="1" s="1"/>
  <c r="I15" i="1" l="1"/>
  <c r="L15" i="1"/>
  <c r="O15" i="1"/>
  <c r="K15" i="1" l="1"/>
  <c r="G10" i="1" l="1"/>
  <c r="D10" i="1"/>
  <c r="O10" i="1" s="1"/>
</calcChain>
</file>

<file path=xl/sharedStrings.xml><?xml version="1.0" encoding="utf-8"?>
<sst xmlns="http://schemas.openxmlformats.org/spreadsheetml/2006/main" count="87" uniqueCount="43">
  <si>
    <t>切入點</t>
    <phoneticPr fontId="1" type="noConversion"/>
  </si>
  <si>
    <t>庫存成本價</t>
    <phoneticPr fontId="1" type="noConversion"/>
  </si>
  <si>
    <t>庫存張數</t>
    <phoneticPr fontId="1" type="noConversion"/>
  </si>
  <si>
    <t>委賣價</t>
    <phoneticPr fontId="1" type="noConversion"/>
  </si>
  <si>
    <t>委買價</t>
    <phoneticPr fontId="1" type="noConversion"/>
  </si>
  <si>
    <t>損益</t>
    <phoneticPr fontId="1" type="noConversion"/>
  </si>
  <si>
    <t>漲跌幅 %</t>
    <phoneticPr fontId="1" type="noConversion"/>
  </si>
  <si>
    <t>停損點</t>
    <phoneticPr fontId="1" type="noConversion"/>
  </si>
  <si>
    <t>報酬率</t>
    <phoneticPr fontId="1" type="noConversion"/>
  </si>
  <si>
    <t>標的</t>
    <phoneticPr fontId="1" type="noConversion"/>
  </si>
  <si>
    <t>已實現損益</t>
    <phoneticPr fontId="1" type="noConversion"/>
  </si>
  <si>
    <t>成交價</t>
    <phoneticPr fontId="1" type="noConversion"/>
  </si>
  <si>
    <t>進場</t>
    <phoneticPr fontId="1" type="noConversion"/>
  </si>
  <si>
    <t>停損</t>
    <phoneticPr fontId="1" type="noConversion"/>
  </si>
  <si>
    <t>可接受價</t>
    <phoneticPr fontId="1" type="noConversion"/>
  </si>
  <si>
    <t>庫存口數</t>
    <phoneticPr fontId="1" type="noConversion"/>
  </si>
  <si>
    <t>小台指期</t>
    <phoneticPr fontId="1" type="noConversion"/>
  </si>
  <si>
    <t>10:30過後不當沖</t>
    <phoneticPr fontId="1" type="noConversion"/>
  </si>
  <si>
    <t>發動前量不能太小(&gt;700張)，進場時也要注意量，十點前要有250張</t>
    <phoneticPr fontId="1" type="noConversion"/>
  </si>
  <si>
    <t>盤中注意：</t>
    <phoneticPr fontId="1" type="noConversion"/>
  </si>
  <si>
    <t>漲停</t>
    <phoneticPr fontId="1" type="noConversion"/>
  </si>
  <si>
    <t>大漲突破</t>
    <phoneticPr fontId="1" type="noConversion"/>
  </si>
  <si>
    <t>長紅k，從跌深到漲</t>
    <phoneticPr fontId="1" type="noConversion"/>
  </si>
  <si>
    <t>賺多賠少</t>
    <phoneticPr fontId="1" type="noConversion"/>
  </si>
  <si>
    <t>每次進場前都先看好停損點和目標獲利，並嚴守</t>
    <phoneticPr fontId="1" type="noConversion"/>
  </si>
  <si>
    <t>第一根漲停股優先於現持有股票，優先於第二根漲停</t>
    <phoneticPr fontId="1" type="noConversion"/>
  </si>
  <si>
    <t>清楚自己的策略：反彈、修正-&gt;快跑，波段</t>
    <phoneticPr fontId="1" type="noConversion"/>
  </si>
  <si>
    <t>台股-底部</t>
    <phoneticPr fontId="1" type="noConversion"/>
  </si>
  <si>
    <t>台股-開漲停</t>
    <phoneticPr fontId="1" type="noConversion"/>
  </si>
  <si>
    <t>修正但差點突破前波高</t>
    <phoneticPr fontId="1" type="noConversion"/>
  </si>
  <si>
    <t>期貨結算日時，要注意下一月份的價差</t>
  </si>
  <si>
    <t>不要猜它會發動而進場，發動後再進場</t>
    <phoneticPr fontId="1" type="noConversion"/>
  </si>
  <si>
    <t>CME</t>
    <phoneticPr fontId="1" type="noConversion"/>
  </si>
  <si>
    <t>代號</t>
    <phoneticPr fontId="1" type="noConversion"/>
  </si>
  <si>
    <t>AD_1606</t>
    <phoneticPr fontId="1" type="noConversion"/>
  </si>
  <si>
    <t>澳幣</t>
    <phoneticPr fontId="1" type="noConversion"/>
  </si>
  <si>
    <t>英鎊</t>
    <phoneticPr fontId="1" type="noConversion"/>
  </si>
  <si>
    <t>BP_1606</t>
    <phoneticPr fontId="1" type="noConversion"/>
  </si>
  <si>
    <t>加幣</t>
    <phoneticPr fontId="1" type="noConversion"/>
  </si>
  <si>
    <t>CD_1606</t>
    <phoneticPr fontId="1" type="noConversion"/>
  </si>
  <si>
    <t>歐元</t>
    <phoneticPr fontId="1" type="noConversion"/>
  </si>
  <si>
    <t>EC_1606</t>
    <phoneticPr fontId="1" type="noConversion"/>
  </si>
  <si>
    <t>必須設定停損金額，避免打開往下殺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</si>
</sst>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" fillId="0" borderId="0" xfId="0" applyFont="1">
      <alignment vertical="center"/>
    </xf>
    <xf numFmtId="9" fontId="2" fillId="0" borderId="0" xfId="0" applyNumberFormat="1" applyFont="1">
      <alignment vertical="center"/>
    </xf>
    <xf numFmtId="0" fontId="2" fillId="0" borderId="0" xfId="0" applyFont="1" applyFill="1">
      <alignment vertical="center"/>
    </xf>
    <xf numFmtId="10" fontId="2" fillId="0" borderId="0" xfId="1" applyNumberFormat="1" applyFont="1">
      <alignment vertical="center"/>
    </xf>
    <xf numFmtId="0" fontId="2" fillId="5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0" borderId="1" xfId="0" applyFont="1" applyFill="1" applyBorder="1">
      <alignment vertical="center"/>
    </xf>
    <xf numFmtId="9" fontId="2" fillId="0" borderId="1" xfId="0" applyNumberFormat="1" applyFont="1" applyBorder="1">
      <alignment vertical="center"/>
    </xf>
    <xf numFmtId="0" fontId="2" fillId="6" borderId="0" xfId="0" applyFont="1" applyFill="1">
      <alignment vertical="center"/>
    </xf>
    <xf numFmtId="9" fontId="2" fillId="0" borderId="1" xfId="0" applyNumberFormat="1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0" borderId="1" xfId="0" applyFont="1" applyBorder="1">
      <alignment vertical="center"/>
    </xf>
    <xf numFmtId="10" fontId="2" fillId="4" borderId="1" xfId="1" applyNumberFormat="1" applyFont="1" applyFill="1" applyBorder="1">
      <alignment vertical="center"/>
    </xf>
    <xf numFmtId="10" fontId="2" fillId="0" borderId="1" xfId="1" applyNumberFormat="1" applyFont="1" applyFill="1" applyBorder="1">
      <alignment vertical="center"/>
    </xf>
    <xf numFmtId="0" fontId="2" fillId="8" borderId="1" xfId="0" applyFont="1" applyFill="1" applyBorder="1">
      <alignment vertical="center"/>
    </xf>
    <xf numFmtId="2" fontId="2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>
      <alignment vertical="center"/>
    </xf>
    <xf numFmtId="0" fontId="5" fillId="0" borderId="0" xfId="0" applyFont="1">
      <alignment vertical="center"/>
    </xf>
    <xf numFmtId="2" fontId="2" fillId="0" borderId="0" xfId="0" applyNumberFormat="1" applyFont="1" applyFill="1">
      <alignment vertical="center"/>
    </xf>
    <xf numFmtId="10" fontId="2" fillId="0" borderId="0" xfId="1" applyNumberFormat="1" applyFont="1" applyFill="1">
      <alignment vertical="center"/>
    </xf>
    <xf numFmtId="0" fontId="5" fillId="0" borderId="0" xfId="0" applyFont="1" applyAlignment="1">
      <alignment vertical="center"/>
    </xf>
    <xf numFmtId="0" fontId="2" fillId="9" borderId="0" xfId="0" applyFon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FF7C80"/>
      <color rgb="FFF92D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123825</xdr:rowOff>
        </xdr:from>
        <xdr:to>
          <xdr:col>1</xdr:col>
          <xdr:colOff>542925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載入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EWinner" ddeTopic="RQ">
    <ddeItems>
      <ddeItem name=".AskPrice" advise="1">
        <values>
          <value t="str">
            <val>StkCode Error</val>
          </value>
        </values>
      </ddeItem>
      <ddeItem name=".BidPrice" advise="1">
        <values>
          <value t="str">
            <val>StkCode Error</val>
          </value>
        </values>
      </ddeItem>
      <ddeItem name=".ChangePercent" advise="1">
        <values>
          <value t="str">
            <val>StkCode Error</val>
          </value>
        </values>
      </ddeItem>
      <ddeItem name=".Price" advise="1">
        <values>
          <value t="str">
            <val>StkCode Error</val>
          </value>
        </values>
      </ddeItem>
      <ddeItem name="1704.AskPrice" advise="1">
        <values>
          <value>
            <val>34.75</val>
          </value>
        </values>
      </ddeItem>
      <ddeItem name="1704.BidPrice" advise="1">
        <values>
          <value>
            <val>34.700000000000003</val>
          </value>
        </values>
      </ddeItem>
      <ddeItem name="1704.ChangePercent" advise="1">
        <values>
          <value>
            <val>-1.28</val>
          </value>
        </values>
      </ddeItem>
      <ddeItem name="1704.Price" advise="1">
        <values>
          <value>
            <val>34.75</val>
          </value>
        </values>
      </ddeItem>
      <ddeItem name="2305.AskPrice" advise="1">
        <values>
          <value>
            <val>9</val>
          </value>
        </values>
      </ddeItem>
      <ddeItem name="2305.BidPrice" advise="1">
        <values>
          <value>
            <val>8.99</val>
          </value>
        </values>
      </ddeItem>
      <ddeItem name="2305.ChangePercent" advise="1">
        <values>
          <value>
            <val>-3.33</val>
          </value>
        </values>
      </ddeItem>
      <ddeItem name="2305.Price" advise="1">
        <values>
          <value>
            <val>9</val>
          </value>
        </values>
      </ddeItem>
      <ddeItem name="2634.AskPrice" advise="1">
        <values>
          <value>
            <val>45.2</val>
          </value>
        </values>
      </ddeItem>
      <ddeItem name="2634.BidPrice" advise="1">
        <values>
          <value>
            <val>45.1</val>
          </value>
        </values>
      </ddeItem>
      <ddeItem name="2634.ChangePercent" advise="1">
        <values>
          <value>
            <val>0</val>
          </value>
        </values>
      </ddeItem>
      <ddeItem name="2634.Price" advise="1">
        <values>
          <value>
            <val>45.2</val>
          </value>
        </values>
      </ddeItem>
      <ddeItem name="3206.AskPrice" advise="1">
        <values>
          <value>
            <val>22.7</val>
          </value>
        </values>
      </ddeItem>
      <ddeItem name="3206.BidPrice" advise="1">
        <values>
          <value>
            <val>22.4</val>
          </value>
        </values>
      </ddeItem>
      <ddeItem name="3206.ChangePercent" advise="1">
        <values>
          <value>
            <val>-0.88</val>
          </value>
        </values>
      </ddeItem>
      <ddeItem name="3206.Price" advise="1">
        <values>
          <value>
            <val>22.45</val>
          </value>
        </values>
      </ddeItem>
      <ddeItem name="3402.AskPrice" advise="1">
        <values>
          <value>
            <val>16.45</val>
          </value>
        </values>
      </ddeItem>
      <ddeItem name="3402.BidPrice" advise="1">
        <values>
          <value>
            <val>16.399999999999999</val>
          </value>
        </values>
      </ddeItem>
      <ddeItem name="3402.ChangePercent" advise="1">
        <values>
          <value>
            <val>0.92</val>
          </value>
        </values>
      </ddeItem>
      <ddeItem name="3402.Price" advise="1">
        <values>
          <value>
            <val>16.45</val>
          </value>
        </values>
      </ddeItem>
      <ddeItem name="3492.AskPrice" advise="1">
        <values>
          <value>
            <val>34.049999999999997</val>
          </value>
        </values>
      </ddeItem>
      <ddeItem name="3492.BidPrice" advise="1">
        <values>
          <value>
            <val>33.950000000000003</val>
          </value>
        </values>
      </ddeItem>
      <ddeItem name="3492.ChangePercent" advise="1">
        <values>
          <value>
            <val>-0.44</val>
          </value>
        </values>
      </ddeItem>
      <ddeItem name="3492.Price" advise="1">
        <values>
          <value>
            <val>33.950000000000003</val>
          </value>
        </values>
      </ddeItem>
      <ddeItem name="4114.AskPrice" advise="1">
        <values>
          <value>
            <val>35.1</val>
          </value>
        </values>
      </ddeItem>
      <ddeItem name="4114.BidPrice" advise="1">
        <values>
          <value>
            <val>35</val>
          </value>
        </values>
      </ddeItem>
      <ddeItem name="4114.ChangePercent" advise="1">
        <values>
          <value>
            <val>-0.28000000000000003</val>
          </value>
        </values>
      </ddeItem>
      <ddeItem name="4114.Price" advise="1">
        <values>
          <value>
            <val>35.049999999999997</val>
          </value>
        </values>
      </ddeItem>
      <ddeItem name="6506.AskPrice" advise="1">
        <values>
          <value>
            <val>21.3</val>
          </value>
        </values>
      </ddeItem>
      <ddeItem name="6506.BidPrice" advise="1">
        <values>
          <value>
            <val>21.25</val>
          </value>
        </values>
      </ddeItem>
      <ddeItem name="6506.ChangePercent" advise="1">
        <values>
          <value>
            <val>-1.1599999999999999</val>
          </value>
        </values>
      </ddeItem>
      <ddeItem name="6506.Price" advise="1">
        <values>
          <value>
            <val>21.3</val>
          </value>
        </values>
      </ddeItem>
      <ddeItem name="7796.AskPrice" advise="1">
        <values>
          <value>
            <val>8036</val>
          </value>
        </values>
      </ddeItem>
      <ddeItem name="7796.BidPrice" advise="1">
        <values>
          <value>
            <val>8035</val>
          </value>
        </values>
      </ddeItem>
      <ddeItem name="7796.ChangePercent" advise="1">
        <values>
          <value>
            <val>0.04</val>
          </value>
        </values>
      </ddeItem>
      <ddeItem name="7796.Price" advise="1">
        <values>
          <value>
            <val>8036</val>
          </value>
        </values>
      </ddeItem>
      <ddeItem name="9911.AskPrice" advise="1">
        <values>
          <value>
            <val>23.8</val>
          </value>
        </values>
      </ddeItem>
      <ddeItem name="9911.BidPrice" advise="1">
        <values>
          <value>
            <val>23.75</val>
          </value>
        </values>
      </ddeItem>
      <ddeItem name="9911.ChangePercent" advise="1">
        <values>
          <value>
            <val>-2.2599999999999998</val>
          </value>
        </values>
      </ddeItem>
      <ddeItem name="9911.Price" advise="1">
        <values>
          <value>
            <val>23.75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2:Q27"/>
  <sheetViews>
    <sheetView tabSelected="1" workbookViewId="0">
      <selection activeCell="I28" sqref="I28"/>
    </sheetView>
  </sheetViews>
  <sheetFormatPr defaultRowHeight="15.75" x14ac:dyDescent="0.25"/>
  <cols>
    <col min="1" max="1" width="9" style="1"/>
    <col min="2" max="2" width="12.5" style="1" customWidth="1"/>
    <col min="3" max="3" width="6.25" style="1" bestFit="1" customWidth="1"/>
    <col min="4" max="4" width="7.75" style="1" bestFit="1" customWidth="1"/>
    <col min="5" max="6" width="7.75" style="1" customWidth="1"/>
    <col min="7" max="7" width="10" style="1" bestFit="1" customWidth="1"/>
    <col min="8" max="8" width="7.75" style="1" bestFit="1" customWidth="1"/>
    <col min="9" max="9" width="9.75" style="18" bestFit="1" customWidth="1"/>
    <col min="10" max="10" width="7.75" style="1" bestFit="1" customWidth="1"/>
    <col min="11" max="12" width="5.75" style="19" bestFit="1" customWidth="1"/>
    <col min="13" max="13" width="11.875" style="1" bestFit="1" customWidth="1"/>
    <col min="14" max="14" width="9.75" style="1" bestFit="1" customWidth="1"/>
    <col min="15" max="15" width="9" style="1"/>
    <col min="16" max="16" width="8.25" style="4" bestFit="1" customWidth="1"/>
    <col min="17" max="17" width="11.875" style="1" bestFit="1" customWidth="1"/>
    <col min="18" max="16384" width="9" style="1"/>
  </cols>
  <sheetData>
    <row r="2" spans="2:17" x14ac:dyDescent="0.25">
      <c r="C2" s="25" t="s">
        <v>23</v>
      </c>
      <c r="D2" s="25"/>
      <c r="I2" s="1"/>
      <c r="K2" s="1"/>
      <c r="L2" s="1"/>
      <c r="M2" s="1" t="s">
        <v>19</v>
      </c>
      <c r="N2" s="1" t="s">
        <v>20</v>
      </c>
    </row>
    <row r="3" spans="2:17" x14ac:dyDescent="0.25">
      <c r="C3" s="25" t="s">
        <v>31</v>
      </c>
      <c r="D3" s="25"/>
      <c r="I3" s="1"/>
      <c r="K3" s="1"/>
      <c r="L3" s="1"/>
      <c r="N3" s="1" t="s">
        <v>21</v>
      </c>
    </row>
    <row r="4" spans="2:17" x14ac:dyDescent="0.25">
      <c r="C4" s="25"/>
      <c r="D4" s="25"/>
      <c r="I4" s="1"/>
      <c r="K4" s="1"/>
      <c r="L4" s="1"/>
      <c r="N4" s="1" t="s">
        <v>22</v>
      </c>
    </row>
    <row r="5" spans="2:17" x14ac:dyDescent="0.25">
      <c r="I5" s="1"/>
      <c r="K5" s="1"/>
      <c r="L5" s="1"/>
      <c r="N5" s="1" t="s">
        <v>29</v>
      </c>
    </row>
    <row r="6" spans="2:17" x14ac:dyDescent="0.25">
      <c r="C6" s="22" t="s">
        <v>17</v>
      </c>
      <c r="I6" s="1"/>
      <c r="J6" s="2"/>
      <c r="K6" s="1"/>
      <c r="L6" s="1"/>
    </row>
    <row r="7" spans="2:17" x14ac:dyDescent="0.25">
      <c r="C7" s="22" t="s">
        <v>30</v>
      </c>
      <c r="I7" s="1"/>
      <c r="J7" s="2"/>
      <c r="K7" s="1"/>
      <c r="L7" s="1"/>
    </row>
    <row r="8" spans="2:17" x14ac:dyDescent="0.25">
      <c r="C8" s="5" t="s">
        <v>9</v>
      </c>
      <c r="D8" s="6" t="s">
        <v>4</v>
      </c>
      <c r="E8" s="6" t="s">
        <v>3</v>
      </c>
      <c r="F8" s="6" t="s">
        <v>11</v>
      </c>
      <c r="G8" s="6" t="s">
        <v>6</v>
      </c>
      <c r="H8" s="7" t="s">
        <v>0</v>
      </c>
      <c r="I8" s="7" t="s">
        <v>14</v>
      </c>
      <c r="J8" s="7" t="s">
        <v>7</v>
      </c>
      <c r="K8" s="17" t="s">
        <v>12</v>
      </c>
      <c r="L8" s="17" t="s">
        <v>13</v>
      </c>
      <c r="M8" s="8" t="s">
        <v>1</v>
      </c>
      <c r="N8" s="8" t="s">
        <v>15</v>
      </c>
      <c r="O8" s="8" t="s">
        <v>5</v>
      </c>
      <c r="P8" s="15" t="s">
        <v>8</v>
      </c>
      <c r="Q8" s="13" t="s">
        <v>10</v>
      </c>
    </row>
    <row r="9" spans="2:17" x14ac:dyDescent="0.2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16"/>
      <c r="Q9" s="14"/>
    </row>
    <row r="10" spans="2:17" x14ac:dyDescent="0.25">
      <c r="B10" s="11" t="s">
        <v>16</v>
      </c>
      <c r="C10" s="3">
        <v>7796</v>
      </c>
      <c r="D10" s="3">
        <f>[1]!'7796.BidPrice'</f>
        <v>8035</v>
      </c>
      <c r="E10" s="3">
        <f>[1]!'7796.AskPrice'</f>
        <v>8036</v>
      </c>
      <c r="F10" s="3">
        <f>[1]!'7796.Price'</f>
        <v>8036</v>
      </c>
      <c r="G10" s="3">
        <f>[1]!'7796.ChangePercent'</f>
        <v>0.04</v>
      </c>
      <c r="H10" s="3"/>
      <c r="I10" s="3"/>
      <c r="J10" s="3"/>
      <c r="K10" s="20"/>
      <c r="L10" s="20" t="str">
        <f>IF(F10&lt;=J10,"*","")</f>
        <v/>
      </c>
      <c r="M10" s="3"/>
      <c r="N10" s="3"/>
      <c r="O10" s="3">
        <f>((D10-M10)-3)*50*N10</f>
        <v>0</v>
      </c>
    </row>
    <row r="11" spans="2:17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2:17" x14ac:dyDescent="0.25">
      <c r="B12" s="3"/>
      <c r="C12" s="21" t="s">
        <v>18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2:17" x14ac:dyDescent="0.25">
      <c r="B13" s="3"/>
      <c r="C13" s="5" t="s">
        <v>9</v>
      </c>
      <c r="D13" s="6" t="s">
        <v>4</v>
      </c>
      <c r="E13" s="6" t="s">
        <v>3</v>
      </c>
      <c r="F13" s="6" t="s">
        <v>11</v>
      </c>
      <c r="G13" s="6" t="s">
        <v>6</v>
      </c>
      <c r="H13" s="7" t="s">
        <v>0</v>
      </c>
      <c r="I13" s="7" t="s">
        <v>14</v>
      </c>
      <c r="J13" s="7" t="s">
        <v>7</v>
      </c>
      <c r="K13" s="17" t="s">
        <v>12</v>
      </c>
      <c r="L13" s="17" t="s">
        <v>13</v>
      </c>
      <c r="M13" s="8" t="s">
        <v>1</v>
      </c>
      <c r="N13" s="8" t="s">
        <v>2</v>
      </c>
      <c r="O13" s="8" t="s">
        <v>5</v>
      </c>
      <c r="P13" s="15" t="s">
        <v>8</v>
      </c>
      <c r="Q13" s="13" t="s">
        <v>10</v>
      </c>
    </row>
    <row r="14" spans="2:17" x14ac:dyDescent="0.25">
      <c r="B14" s="3"/>
      <c r="C14" s="9"/>
      <c r="D14" s="9"/>
      <c r="E14" s="9"/>
      <c r="F14" s="9"/>
      <c r="G14" s="9"/>
      <c r="H14" s="12">
        <v>0.02</v>
      </c>
      <c r="I14" s="10"/>
      <c r="J14" s="12">
        <v>0.05</v>
      </c>
      <c r="K14" s="9"/>
      <c r="L14" s="9"/>
      <c r="M14" s="9"/>
      <c r="N14" s="9"/>
      <c r="O14" s="9"/>
      <c r="P14" s="16"/>
      <c r="Q14" s="14"/>
    </row>
    <row r="15" spans="2:17" x14ac:dyDescent="0.25">
      <c r="B15" s="11" t="s">
        <v>27</v>
      </c>
      <c r="C15" s="26">
        <v>2634</v>
      </c>
      <c r="D15" s="3">
        <f>[1]!'2634.BidPrice'</f>
        <v>45.1</v>
      </c>
      <c r="E15" s="3">
        <f>[1]!'2634.AskPrice'</f>
        <v>45.2</v>
      </c>
      <c r="F15" s="3">
        <f>[1]!'2634.Price'</f>
        <v>45.2</v>
      </c>
      <c r="G15" s="3">
        <f>[1]!'2634.ChangePercent'</f>
        <v>0</v>
      </c>
      <c r="H15" s="3">
        <v>44</v>
      </c>
      <c r="I15" s="23">
        <f>MIN(H15*(1+$H$14),J15*(1+$J$14))</f>
        <v>44.88</v>
      </c>
      <c r="J15" s="3">
        <v>43.45</v>
      </c>
      <c r="K15" s="20" t="str">
        <f t="shared" ref="K15" si="0">IF(E15&lt;=I15,IF(E15&gt;0,"#",""),"")</f>
        <v/>
      </c>
      <c r="L15" s="20" t="str">
        <f t="shared" ref="L15" si="1">IF(F15&lt;=J15,"*","")</f>
        <v/>
      </c>
      <c r="M15" s="3"/>
      <c r="N15" s="3"/>
      <c r="O15" s="3">
        <f t="shared" ref="O15:O19" si="2">(D15-M15)*N15*1000-M15*N15*6</f>
        <v>0</v>
      </c>
      <c r="P15" s="24"/>
      <c r="Q15" s="3"/>
    </row>
    <row r="16" spans="2:17" x14ac:dyDescent="0.25">
      <c r="C16" s="1">
        <v>4114</v>
      </c>
      <c r="D16" s="1">
        <f>[1]!'4114.BidPrice'</f>
        <v>35</v>
      </c>
      <c r="E16" s="1">
        <f>[1]!'4114.AskPrice'</f>
        <v>35.1</v>
      </c>
      <c r="F16" s="1">
        <f>[1]!'4114.Price'</f>
        <v>35.049999999999997</v>
      </c>
      <c r="G16" s="1">
        <f>[1]!'4114.ChangePercent'</f>
        <v>-0.28000000000000003</v>
      </c>
      <c r="H16" s="1">
        <v>35.5</v>
      </c>
      <c r="I16" s="18">
        <f>MIN(H16*(1+$H$14),J16*(1+$J$14))</f>
        <v>36.21</v>
      </c>
      <c r="J16" s="1">
        <v>35.1</v>
      </c>
      <c r="K16" s="20" t="str">
        <f>IF(E16&lt;=I16,IF(E16&gt;0,"#",""),"")</f>
        <v>#</v>
      </c>
      <c r="L16" s="20" t="str">
        <f t="shared" ref="L16:L17" si="3">IF(F16&lt;=J16,"*","")</f>
        <v>*</v>
      </c>
      <c r="O16" s="1">
        <f t="shared" si="2"/>
        <v>0</v>
      </c>
      <c r="P16" s="24"/>
    </row>
    <row r="17" spans="2:17" x14ac:dyDescent="0.25">
      <c r="C17" s="1">
        <v>3206</v>
      </c>
      <c r="D17" s="1">
        <f>[1]!'3206.BidPrice'</f>
        <v>22.4</v>
      </c>
      <c r="E17" s="1">
        <f>[1]!'3206.AskPrice'</f>
        <v>22.7</v>
      </c>
      <c r="F17" s="1">
        <f>[1]!'3206.Price'</f>
        <v>22.45</v>
      </c>
      <c r="G17" s="1">
        <f>[1]!'3206.ChangePercent'</f>
        <v>-0.88</v>
      </c>
      <c r="H17" s="1">
        <v>24.5</v>
      </c>
      <c r="I17" s="18">
        <f>MIN(H17*(1+$H$14),J17*(1+$J$14))</f>
        <v>24.675000000000001</v>
      </c>
      <c r="J17" s="1">
        <v>23.5</v>
      </c>
      <c r="K17" s="19" t="str">
        <f t="shared" ref="K17" si="4">IF(E17&lt;=I17,IF(E17&gt;0,"#",""),"")</f>
        <v>#</v>
      </c>
      <c r="L17" s="19" t="str">
        <f t="shared" si="3"/>
        <v>*</v>
      </c>
      <c r="O17" s="1">
        <f t="shared" si="2"/>
        <v>0</v>
      </c>
      <c r="P17" s="24"/>
    </row>
    <row r="18" spans="2:17" x14ac:dyDescent="0.25">
      <c r="C18" s="1">
        <v>1704</v>
      </c>
      <c r="D18" s="1">
        <f>[1]!'1704.BidPrice'</f>
        <v>34.700000000000003</v>
      </c>
      <c r="E18" s="1">
        <f>[1]!'1704.AskPrice'</f>
        <v>34.75</v>
      </c>
      <c r="F18" s="1">
        <f>[1]!'1704.Price'</f>
        <v>34.75</v>
      </c>
      <c r="G18" s="1">
        <f>[1]!'1704.ChangePercent'</f>
        <v>-1.28</v>
      </c>
      <c r="H18" s="1">
        <v>36.5</v>
      </c>
      <c r="I18" s="18">
        <f>MIN(H18*(1+$H$14),J18*(1+$J$14))</f>
        <v>37.230000000000004</v>
      </c>
      <c r="J18" s="1">
        <v>35.700000000000003</v>
      </c>
      <c r="K18" s="20" t="str">
        <f t="shared" ref="K18:K19" si="5">IF(E18&lt;=I18,IF(E18&gt;0,"#",""),"")</f>
        <v>#</v>
      </c>
      <c r="L18" s="20" t="str">
        <f t="shared" ref="L18:L19" si="6">IF(F18&lt;=J18,"*","")</f>
        <v>*</v>
      </c>
      <c r="O18" s="1">
        <f t="shared" si="2"/>
        <v>0</v>
      </c>
      <c r="P18" s="24"/>
    </row>
    <row r="19" spans="2:17" x14ac:dyDescent="0.25">
      <c r="C19" s="26">
        <v>3492</v>
      </c>
      <c r="D19" s="1">
        <f>[1]!'3492.BidPrice'</f>
        <v>33.950000000000003</v>
      </c>
      <c r="E19" s="1">
        <f>[1]!'3492.AskPrice'</f>
        <v>34.049999999999997</v>
      </c>
      <c r="F19" s="1">
        <f>[1]!'3492.Price'</f>
        <v>33.950000000000003</v>
      </c>
      <c r="G19" s="1">
        <f>[1]!'3492.ChangePercent'</f>
        <v>-0.44</v>
      </c>
      <c r="H19" s="1">
        <v>41.5</v>
      </c>
      <c r="I19" s="18">
        <f>MIN(H19*(1+$H$14),J19*(1+$J$14))</f>
        <v>42.33</v>
      </c>
      <c r="J19" s="1">
        <v>40.75</v>
      </c>
      <c r="K19" s="19" t="str">
        <f t="shared" si="5"/>
        <v>#</v>
      </c>
      <c r="L19" s="19" t="str">
        <f t="shared" si="6"/>
        <v>*</v>
      </c>
      <c r="O19" s="1">
        <f t="shared" si="2"/>
        <v>0</v>
      </c>
      <c r="P19" s="24"/>
    </row>
    <row r="20" spans="2:17" x14ac:dyDescent="0.25">
      <c r="C20" s="3"/>
      <c r="D20" s="1" t="str">
        <f>[1]!'.BidPrice'</f>
        <v>StkCode Error</v>
      </c>
      <c r="E20" s="1" t="str">
        <f>[1]!'.AskPrice'</f>
        <v>StkCode Error</v>
      </c>
      <c r="F20" s="1" t="str">
        <f>[1]!'.Price'</f>
        <v>StkCode Error</v>
      </c>
      <c r="G20" s="1" t="str">
        <f>[1]!'.ChangePercent'</f>
        <v>StkCode Error</v>
      </c>
      <c r="P20" s="24"/>
    </row>
    <row r="21" spans="2:17" x14ac:dyDescent="0.25">
      <c r="C21" s="22" t="s">
        <v>42</v>
      </c>
      <c r="K21" s="20"/>
      <c r="L21" s="20"/>
    </row>
    <row r="22" spans="2:17" x14ac:dyDescent="0.25">
      <c r="C22" s="5" t="s">
        <v>9</v>
      </c>
      <c r="D22" s="6" t="s">
        <v>4</v>
      </c>
      <c r="E22" s="6" t="s">
        <v>3</v>
      </c>
      <c r="F22" s="6" t="s">
        <v>11</v>
      </c>
      <c r="G22" s="6" t="s">
        <v>6</v>
      </c>
      <c r="H22" s="7" t="s">
        <v>0</v>
      </c>
      <c r="I22" s="7" t="s">
        <v>14</v>
      </c>
      <c r="J22" s="7" t="s">
        <v>7</v>
      </c>
      <c r="K22" s="17" t="s">
        <v>12</v>
      </c>
      <c r="L22" s="17" t="s">
        <v>13</v>
      </c>
      <c r="M22" s="8" t="s">
        <v>1</v>
      </c>
      <c r="N22" s="8" t="s">
        <v>2</v>
      </c>
      <c r="O22" s="8" t="s">
        <v>5</v>
      </c>
      <c r="P22" s="15" t="s">
        <v>8</v>
      </c>
      <c r="Q22" s="13" t="s">
        <v>10</v>
      </c>
    </row>
    <row r="23" spans="2:17" x14ac:dyDescent="0.25">
      <c r="C23" s="9"/>
      <c r="D23" s="9"/>
      <c r="E23" s="9"/>
      <c r="F23" s="9"/>
      <c r="G23" s="9"/>
      <c r="H23" s="12">
        <v>0.02</v>
      </c>
      <c r="I23" s="10"/>
      <c r="J23" s="12">
        <v>0.05</v>
      </c>
      <c r="K23" s="9"/>
      <c r="L23" s="9"/>
      <c r="M23" s="9"/>
      <c r="N23" s="9"/>
      <c r="O23" s="9"/>
      <c r="P23" s="16"/>
      <c r="Q23" s="14"/>
    </row>
    <row r="24" spans="2:17" x14ac:dyDescent="0.25">
      <c r="B24" s="11" t="s">
        <v>28</v>
      </c>
      <c r="C24" s="1">
        <v>9911</v>
      </c>
      <c r="D24" s="1">
        <f>[1]!'9911.BidPrice'</f>
        <v>23.75</v>
      </c>
      <c r="E24" s="1">
        <f>[1]!'9911.AskPrice'</f>
        <v>23.8</v>
      </c>
      <c r="F24" s="1">
        <f>[1]!'9911.Price'</f>
        <v>23.75</v>
      </c>
      <c r="G24" s="1">
        <f>[1]!'9911.ChangePercent'</f>
        <v>-2.2599999999999998</v>
      </c>
      <c r="J24" s="1">
        <v>22.05</v>
      </c>
      <c r="K24" s="19" t="str">
        <f t="shared" ref="K24" si="7">IF(E24&lt;=I24,IF(E24&gt;0,"#",""),"")</f>
        <v/>
      </c>
      <c r="L24" s="19" t="str">
        <f t="shared" ref="L24" si="8">IF(F24&lt;=J24,"*","")</f>
        <v/>
      </c>
      <c r="O24" s="1">
        <f t="shared" ref="O24:O27" si="9">(D24-M24)*N24*1000-M24*N24*6</f>
        <v>0</v>
      </c>
      <c r="P24" s="24"/>
    </row>
    <row r="25" spans="2:17" x14ac:dyDescent="0.25">
      <c r="C25" s="1">
        <v>3402</v>
      </c>
      <c r="D25" s="1">
        <f>[1]!'3402.BidPrice'</f>
        <v>16.399999999999999</v>
      </c>
      <c r="E25" s="1">
        <f>[1]!'3402.AskPrice'</f>
        <v>16.45</v>
      </c>
      <c r="F25" s="1">
        <f>[1]!'3402.Price'</f>
        <v>16.45</v>
      </c>
      <c r="G25" s="1">
        <f>[1]!'3402.ChangePercent'</f>
        <v>0.92</v>
      </c>
      <c r="J25" s="1">
        <v>15.7</v>
      </c>
      <c r="K25" s="19" t="str">
        <f t="shared" ref="K25" si="10">IF(E25&lt;=I25,IF(E25&gt;0,"#",""),"")</f>
        <v/>
      </c>
      <c r="L25" s="19" t="str">
        <f t="shared" ref="L25" si="11">IF(F25&lt;=J25,"*","")</f>
        <v/>
      </c>
      <c r="O25" s="1">
        <f t="shared" si="9"/>
        <v>0</v>
      </c>
      <c r="P25" s="24"/>
    </row>
    <row r="26" spans="2:17" x14ac:dyDescent="0.25">
      <c r="C26" s="1">
        <v>6506</v>
      </c>
      <c r="D26" s="1">
        <f>[1]!'6506.BidPrice'</f>
        <v>21.25</v>
      </c>
      <c r="E26" s="1">
        <f>[1]!'6506.AskPrice'</f>
        <v>21.3</v>
      </c>
      <c r="F26" s="1">
        <f>[1]!'6506.Price'</f>
        <v>21.3</v>
      </c>
      <c r="G26" s="1">
        <f>[1]!'6506.ChangePercent'</f>
        <v>-1.1599999999999999</v>
      </c>
      <c r="O26" s="1">
        <f t="shared" si="9"/>
        <v>0</v>
      </c>
      <c r="P26" s="4" t="e">
        <f>O26/(M26*N26*1000)</f>
        <v>#DIV/0!</v>
      </c>
    </row>
    <row r="27" spans="2:17" x14ac:dyDescent="0.25">
      <c r="C27" s="1">
        <v>2305</v>
      </c>
      <c r="D27" s="1">
        <f>[1]!'2305.BidPrice'</f>
        <v>8.99</v>
      </c>
      <c r="E27" s="1">
        <f>[1]!'2305.AskPrice'</f>
        <v>9</v>
      </c>
      <c r="F27" s="1">
        <f>[1]!'2305.Price'</f>
        <v>9</v>
      </c>
      <c r="G27" s="1">
        <f>[1]!'2305.ChangePercent'</f>
        <v>-3.33</v>
      </c>
      <c r="M27" s="1">
        <v>7.7</v>
      </c>
      <c r="N27" s="1">
        <v>22</v>
      </c>
      <c r="O27" s="1">
        <f t="shared" si="9"/>
        <v>27363.600000000002</v>
      </c>
      <c r="P27" s="4">
        <f>O27/(M27*N27*1000)</f>
        <v>0.16153246753246756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載入">
                <anchor moveWithCells="1" sizeWithCells="1">
                  <from>
                    <xdr:col>0</xdr:col>
                    <xdr:colOff>247650</xdr:colOff>
                    <xdr:row>1</xdr:row>
                    <xdr:rowOff>123825</xdr:rowOff>
                  </from>
                  <to>
                    <xdr:col>1</xdr:col>
                    <xdr:colOff>542925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8:R13"/>
  <sheetViews>
    <sheetView workbookViewId="0">
      <selection activeCell="D14" sqref="D14"/>
    </sheetView>
  </sheetViews>
  <sheetFormatPr defaultRowHeight="15.75" x14ac:dyDescent="0.25"/>
  <cols>
    <col min="1" max="16384" width="9" style="1"/>
  </cols>
  <sheetData>
    <row r="8" spans="2:18" x14ac:dyDescent="0.25">
      <c r="B8" s="14" t="s">
        <v>32</v>
      </c>
      <c r="C8" s="5" t="s">
        <v>9</v>
      </c>
      <c r="D8" s="5" t="s">
        <v>33</v>
      </c>
      <c r="E8" s="6" t="s">
        <v>4</v>
      </c>
      <c r="F8" s="6" t="s">
        <v>3</v>
      </c>
      <c r="G8" s="6" t="s">
        <v>11</v>
      </c>
      <c r="H8" s="6" t="s">
        <v>6</v>
      </c>
      <c r="I8" s="7" t="s">
        <v>0</v>
      </c>
      <c r="J8" s="7" t="s">
        <v>14</v>
      </c>
      <c r="K8" s="7" t="s">
        <v>7</v>
      </c>
      <c r="L8" s="17" t="s">
        <v>12</v>
      </c>
      <c r="M8" s="17" t="s">
        <v>13</v>
      </c>
      <c r="N8" s="8" t="s">
        <v>1</v>
      </c>
      <c r="O8" s="8" t="s">
        <v>15</v>
      </c>
      <c r="P8" s="8" t="s">
        <v>5</v>
      </c>
      <c r="Q8" s="15" t="s">
        <v>8</v>
      </c>
      <c r="R8" s="13" t="s">
        <v>10</v>
      </c>
    </row>
    <row r="9" spans="2:18" x14ac:dyDescent="0.25">
      <c r="B9" s="14">
        <v>203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6"/>
      <c r="R9" s="14"/>
    </row>
    <row r="10" spans="2:18" x14ac:dyDescent="0.25">
      <c r="C10" s="1" t="s">
        <v>35</v>
      </c>
      <c r="D10" s="1" t="s">
        <v>34</v>
      </c>
    </row>
    <row r="11" spans="2:18" x14ac:dyDescent="0.25">
      <c r="C11" s="1" t="s">
        <v>36</v>
      </c>
      <c r="D11" s="1" t="s">
        <v>37</v>
      </c>
    </row>
    <row r="12" spans="2:18" x14ac:dyDescent="0.25">
      <c r="C12" s="1" t="s">
        <v>38</v>
      </c>
      <c r="D12" s="1" t="s">
        <v>39</v>
      </c>
    </row>
    <row r="13" spans="2:18" x14ac:dyDescent="0.25">
      <c r="C13" s="1" t="s">
        <v>40</v>
      </c>
      <c r="D13" s="1" t="s">
        <v>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4:B6"/>
  <sheetViews>
    <sheetView workbookViewId="0">
      <selection activeCell="B33" sqref="B33"/>
    </sheetView>
  </sheetViews>
  <sheetFormatPr defaultRowHeight="16.5" x14ac:dyDescent="0.25"/>
  <sheetData>
    <row r="4" spans="2:2" x14ac:dyDescent="0.25">
      <c r="B4" t="s">
        <v>24</v>
      </c>
    </row>
    <row r="5" spans="2:2" x14ac:dyDescent="0.25">
      <c r="B5" t="s">
        <v>25</v>
      </c>
    </row>
    <row r="6" spans="2:2" x14ac:dyDescent="0.25">
      <c r="B6" t="s">
        <v>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台股</vt:lpstr>
      <vt:lpstr>匯率</vt:lpstr>
      <vt:lpstr>原則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</dc:creator>
  <cp:lastModifiedBy>鍾凱至</cp:lastModifiedBy>
  <dcterms:created xsi:type="dcterms:W3CDTF">2016-04-01T02:58:27Z</dcterms:created>
  <dcterms:modified xsi:type="dcterms:W3CDTF">2016-05-20T01:29:20Z</dcterms:modified>
</cp:coreProperties>
</file>