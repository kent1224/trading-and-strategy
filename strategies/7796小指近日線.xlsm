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4224\Desktop\"/>
    </mc:Choice>
  </mc:AlternateContent>
  <bookViews>
    <workbookView xWindow="0" yWindow="0" windowWidth="19065" windowHeight="5475"/>
  </bookViews>
  <sheets>
    <sheet name="7796小指近日線" sheetId="1" r:id="rId1"/>
  </sheets>
  <calcPr calcId="152511"/>
</workbook>
</file>

<file path=xl/calcChain.xml><?xml version="1.0" encoding="utf-8"?>
<calcChain xmlns="http://schemas.openxmlformats.org/spreadsheetml/2006/main">
  <c r="AC4" i="1" l="1"/>
  <c r="AC3" i="1"/>
  <c r="AB4" i="1"/>
  <c r="AB3" i="1"/>
  <c r="R6" i="1"/>
  <c r="R7" i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5" i="1"/>
  <c r="R4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3" i="1"/>
  <c r="AA4" i="1"/>
  <c r="AA3" i="1"/>
  <c r="Z4" i="1"/>
  <c r="Z3" i="1"/>
  <c r="O6" i="1"/>
  <c r="O7" i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5" i="1"/>
  <c r="O4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3" i="1"/>
  <c r="S4" i="1" l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3" i="1"/>
  <c r="K4" i="1"/>
  <c r="L4" i="1" s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3" i="1"/>
  <c r="X3" i="1" s="1"/>
  <c r="L5" i="1" l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X4" i="1"/>
  <c r="Y3" i="1"/>
  <c r="Y4" i="1"/>
  <c r="V10" i="1"/>
  <c r="V9" i="1"/>
  <c r="V8" i="1"/>
  <c r="V7" i="1"/>
  <c r="V6" i="1"/>
  <c r="V5" i="1"/>
  <c r="V4" i="1"/>
  <c r="V3" i="1"/>
  <c r="V11" i="1" l="1"/>
  <c r="W5" i="1" s="1"/>
  <c r="W10" i="1"/>
  <c r="W3" i="1" l="1"/>
  <c r="W8" i="1"/>
  <c r="W6" i="1"/>
  <c r="W4" i="1"/>
  <c r="W9" i="1"/>
  <c r="W7" i="1"/>
</calcChain>
</file>

<file path=xl/sharedStrings.xml><?xml version="1.0" encoding="utf-8"?>
<sst xmlns="http://schemas.openxmlformats.org/spreadsheetml/2006/main" count="115" uniqueCount="30">
  <si>
    <t>日期</t>
  </si>
  <si>
    <t>開盤</t>
  </si>
  <si>
    <t>最高</t>
  </si>
  <si>
    <t>最低</t>
  </si>
  <si>
    <t>收盤</t>
  </si>
  <si>
    <t xml:space="preserve"> 均價5</t>
  </si>
  <si>
    <t>買</t>
    <phoneticPr fontId="18" type="noConversion"/>
  </si>
  <si>
    <t>第一天</t>
    <phoneticPr fontId="18" type="noConversion"/>
  </si>
  <si>
    <t>第二天</t>
    <phoneticPr fontId="18" type="noConversion"/>
  </si>
  <si>
    <t>第三天</t>
    <phoneticPr fontId="18" type="noConversion"/>
  </si>
  <si>
    <t>n/y/n</t>
    <phoneticPr fontId="18" type="noConversion"/>
  </si>
  <si>
    <t>n/n/y</t>
    <phoneticPr fontId="18" type="noConversion"/>
  </si>
  <si>
    <t>n/y/y</t>
    <phoneticPr fontId="18" type="noConversion"/>
  </si>
  <si>
    <t>y/y/n</t>
    <phoneticPr fontId="18" type="noConversion"/>
  </si>
  <si>
    <t>y/y/y</t>
    <phoneticPr fontId="18" type="noConversion"/>
  </si>
  <si>
    <t>n/n/n</t>
    <phoneticPr fontId="18" type="noConversion"/>
  </si>
  <si>
    <t>y/n/n</t>
    <phoneticPr fontId="18" type="noConversion"/>
  </si>
  <si>
    <t>y/n/y</t>
    <phoneticPr fontId="18" type="noConversion"/>
  </si>
  <si>
    <t>n/n/n</t>
    <phoneticPr fontId="18" type="noConversion"/>
  </si>
  <si>
    <t>n/n/y</t>
    <phoneticPr fontId="18" type="noConversion"/>
  </si>
  <si>
    <t>n/y/n</t>
    <phoneticPr fontId="18" type="noConversion"/>
  </si>
  <si>
    <t>n/y/y</t>
    <phoneticPr fontId="18" type="noConversion"/>
  </si>
  <si>
    <t>y/n/n</t>
    <phoneticPr fontId="18" type="noConversion"/>
  </si>
  <si>
    <t>y/n/y</t>
    <phoneticPr fontId="18" type="noConversion"/>
  </si>
  <si>
    <t>y/y/n</t>
    <phoneticPr fontId="18" type="noConversion"/>
  </si>
  <si>
    <t>y/y/y</t>
    <phoneticPr fontId="18" type="noConversion"/>
  </si>
  <si>
    <t>total</t>
    <phoneticPr fontId="18" type="noConversion"/>
  </si>
  <si>
    <t>%</t>
    <phoneticPr fontId="18" type="noConversion"/>
  </si>
  <si>
    <t>第一天</t>
    <phoneticPr fontId="18" type="noConversion"/>
  </si>
  <si>
    <t>第二天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</si>
</sst>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42" applyFont="1">
      <alignment vertical="center"/>
    </xf>
    <xf numFmtId="0" fontId="0" fillId="0" borderId="0" xfId="0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'7796小指近日線'!$L$3:$L$95</c:f>
              <c:numCache>
                <c:formatCode>General</c:formatCode>
                <c:ptCount val="93"/>
                <c:pt idx="0">
                  <c:v>-56</c:v>
                </c:pt>
                <c:pt idx="1">
                  <c:v>-92</c:v>
                </c:pt>
                <c:pt idx="2">
                  <c:v>-104</c:v>
                </c:pt>
                <c:pt idx="3">
                  <c:v>-39</c:v>
                </c:pt>
                <c:pt idx="4">
                  <c:v>201</c:v>
                </c:pt>
                <c:pt idx="5">
                  <c:v>172</c:v>
                </c:pt>
                <c:pt idx="6">
                  <c:v>168</c:v>
                </c:pt>
                <c:pt idx="7">
                  <c:v>143</c:v>
                </c:pt>
                <c:pt idx="8">
                  <c:v>186</c:v>
                </c:pt>
                <c:pt idx="9">
                  <c:v>216</c:v>
                </c:pt>
                <c:pt idx="10">
                  <c:v>232</c:v>
                </c:pt>
                <c:pt idx="11">
                  <c:v>227</c:v>
                </c:pt>
                <c:pt idx="12">
                  <c:v>253</c:v>
                </c:pt>
                <c:pt idx="13">
                  <c:v>191</c:v>
                </c:pt>
                <c:pt idx="14">
                  <c:v>268</c:v>
                </c:pt>
                <c:pt idx="15">
                  <c:v>402</c:v>
                </c:pt>
                <c:pt idx="16">
                  <c:v>417</c:v>
                </c:pt>
                <c:pt idx="17">
                  <c:v>701</c:v>
                </c:pt>
                <c:pt idx="18">
                  <c:v>662</c:v>
                </c:pt>
                <c:pt idx="19">
                  <c:v>597</c:v>
                </c:pt>
                <c:pt idx="20">
                  <c:v>510</c:v>
                </c:pt>
                <c:pt idx="21">
                  <c:v>218</c:v>
                </c:pt>
                <c:pt idx="22">
                  <c:v>381</c:v>
                </c:pt>
                <c:pt idx="23">
                  <c:v>632</c:v>
                </c:pt>
                <c:pt idx="24">
                  <c:v>617</c:v>
                </c:pt>
                <c:pt idx="25">
                  <c:v>628</c:v>
                </c:pt>
                <c:pt idx="26">
                  <c:v>650</c:v>
                </c:pt>
                <c:pt idx="27">
                  <c:v>423</c:v>
                </c:pt>
                <c:pt idx="28">
                  <c:v>415</c:v>
                </c:pt>
                <c:pt idx="29">
                  <c:v>449</c:v>
                </c:pt>
                <c:pt idx="30">
                  <c:v>453</c:v>
                </c:pt>
                <c:pt idx="31">
                  <c:v>564</c:v>
                </c:pt>
                <c:pt idx="32">
                  <c:v>563</c:v>
                </c:pt>
                <c:pt idx="33">
                  <c:v>588</c:v>
                </c:pt>
                <c:pt idx="34">
                  <c:v>669</c:v>
                </c:pt>
                <c:pt idx="35">
                  <c:v>622</c:v>
                </c:pt>
                <c:pt idx="36">
                  <c:v>709</c:v>
                </c:pt>
                <c:pt idx="37">
                  <c:v>712</c:v>
                </c:pt>
                <c:pt idx="38">
                  <c:v>750</c:v>
                </c:pt>
                <c:pt idx="39">
                  <c:v>817</c:v>
                </c:pt>
                <c:pt idx="40">
                  <c:v>917</c:v>
                </c:pt>
                <c:pt idx="41">
                  <c:v>964</c:v>
                </c:pt>
                <c:pt idx="42">
                  <c:v>944</c:v>
                </c:pt>
                <c:pt idx="43">
                  <c:v>901</c:v>
                </c:pt>
                <c:pt idx="44">
                  <c:v>878</c:v>
                </c:pt>
                <c:pt idx="45">
                  <c:v>906</c:v>
                </c:pt>
                <c:pt idx="46">
                  <c:v>951</c:v>
                </c:pt>
                <c:pt idx="47">
                  <c:v>1160</c:v>
                </c:pt>
                <c:pt idx="48">
                  <c:v>1154</c:v>
                </c:pt>
                <c:pt idx="49">
                  <c:v>1157</c:v>
                </c:pt>
                <c:pt idx="50">
                  <c:v>1158</c:v>
                </c:pt>
                <c:pt idx="51">
                  <c:v>1321</c:v>
                </c:pt>
                <c:pt idx="52">
                  <c:v>1294</c:v>
                </c:pt>
                <c:pt idx="53">
                  <c:v>1388</c:v>
                </c:pt>
                <c:pt idx="54">
                  <c:v>1345</c:v>
                </c:pt>
                <c:pt idx="55">
                  <c:v>1371</c:v>
                </c:pt>
                <c:pt idx="56">
                  <c:v>1479</c:v>
                </c:pt>
                <c:pt idx="57">
                  <c:v>1478</c:v>
                </c:pt>
                <c:pt idx="58">
                  <c:v>1506</c:v>
                </c:pt>
                <c:pt idx="59">
                  <c:v>1454</c:v>
                </c:pt>
                <c:pt idx="60">
                  <c:v>1426</c:v>
                </c:pt>
                <c:pt idx="61">
                  <c:v>1435</c:v>
                </c:pt>
                <c:pt idx="62">
                  <c:v>1440</c:v>
                </c:pt>
                <c:pt idx="63">
                  <c:v>1420</c:v>
                </c:pt>
                <c:pt idx="64">
                  <c:v>1320</c:v>
                </c:pt>
                <c:pt idx="65">
                  <c:v>1349</c:v>
                </c:pt>
                <c:pt idx="66">
                  <c:v>1304</c:v>
                </c:pt>
                <c:pt idx="67">
                  <c:v>1330</c:v>
                </c:pt>
                <c:pt idx="68">
                  <c:v>1438</c:v>
                </c:pt>
                <c:pt idx="69">
                  <c:v>1363</c:v>
                </c:pt>
                <c:pt idx="70">
                  <c:v>1381</c:v>
                </c:pt>
                <c:pt idx="71">
                  <c:v>1397</c:v>
                </c:pt>
                <c:pt idx="72">
                  <c:v>1356</c:v>
                </c:pt>
                <c:pt idx="73">
                  <c:v>1388</c:v>
                </c:pt>
                <c:pt idx="74">
                  <c:v>1399</c:v>
                </c:pt>
                <c:pt idx="75">
                  <c:v>1437</c:v>
                </c:pt>
                <c:pt idx="76">
                  <c:v>1358</c:v>
                </c:pt>
                <c:pt idx="77">
                  <c:v>1330</c:v>
                </c:pt>
                <c:pt idx="78">
                  <c:v>1266</c:v>
                </c:pt>
                <c:pt idx="79">
                  <c:v>1255</c:v>
                </c:pt>
                <c:pt idx="80">
                  <c:v>1260</c:v>
                </c:pt>
                <c:pt idx="81">
                  <c:v>1222</c:v>
                </c:pt>
                <c:pt idx="82">
                  <c:v>1173</c:v>
                </c:pt>
                <c:pt idx="83">
                  <c:v>1178</c:v>
                </c:pt>
                <c:pt idx="84">
                  <c:v>1234</c:v>
                </c:pt>
                <c:pt idx="85">
                  <c:v>1242</c:v>
                </c:pt>
                <c:pt idx="86">
                  <c:v>1278</c:v>
                </c:pt>
                <c:pt idx="87">
                  <c:v>1214</c:v>
                </c:pt>
                <c:pt idx="88">
                  <c:v>1257</c:v>
                </c:pt>
                <c:pt idx="89">
                  <c:v>1382</c:v>
                </c:pt>
                <c:pt idx="90">
                  <c:v>1377</c:v>
                </c:pt>
                <c:pt idx="91">
                  <c:v>1240</c:v>
                </c:pt>
                <c:pt idx="92">
                  <c:v>1292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589488"/>
        <c:axId val="246589880"/>
      </c:lineChart>
      <c:catAx>
        <c:axId val="246589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46589880"/>
        <c:crosses val="autoZero"/>
        <c:auto val="1"/>
        <c:lblAlgn val="ctr"/>
        <c:lblOffset val="100"/>
        <c:noMultiLvlLbl val="0"/>
      </c:catAx>
      <c:valAx>
        <c:axId val="24658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4658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395287</xdr:colOff>
      <xdr:row>11</xdr:row>
      <xdr:rowOff>147637</xdr:rowOff>
    </xdr:from>
    <xdr:to>
      <xdr:col>27</xdr:col>
      <xdr:colOff>166687</xdr:colOff>
      <xdr:row>24</xdr:row>
      <xdr:rowOff>166687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C2497"/>
  <sheetViews>
    <sheetView tabSelected="1" topLeftCell="K1" workbookViewId="0">
      <selection activeCell="AB8" sqref="AB8"/>
    </sheetView>
  </sheetViews>
  <sheetFormatPr defaultRowHeight="16.5" x14ac:dyDescent="0.25"/>
  <cols>
    <col min="8" max="8" width="10.5" style="1" bestFit="1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29" x14ac:dyDescent="0.25">
      <c r="A2" s="1">
        <v>38771</v>
      </c>
      <c r="B2">
        <v>6540</v>
      </c>
      <c r="C2">
        <v>6548</v>
      </c>
      <c r="D2">
        <v>6462</v>
      </c>
      <c r="E2">
        <v>6494</v>
      </c>
      <c r="F2">
        <v>6600.2</v>
      </c>
      <c r="I2" t="s">
        <v>6</v>
      </c>
      <c r="J2" t="s">
        <v>7</v>
      </c>
      <c r="M2" t="s">
        <v>8</v>
      </c>
      <c r="P2" t="s">
        <v>9</v>
      </c>
      <c r="W2" t="s">
        <v>27</v>
      </c>
      <c r="X2" s="3" t="s">
        <v>28</v>
      </c>
      <c r="Y2" s="3"/>
      <c r="Z2" s="3" t="s">
        <v>29</v>
      </c>
      <c r="AA2" s="3"/>
    </row>
    <row r="3" spans="1:29" x14ac:dyDescent="0.25">
      <c r="A3" s="1">
        <v>38772</v>
      </c>
      <c r="B3">
        <v>6490</v>
      </c>
      <c r="C3">
        <v>6532</v>
      </c>
      <c r="D3">
        <v>6476</v>
      </c>
      <c r="E3">
        <v>6524</v>
      </c>
      <c r="F3">
        <v>6569</v>
      </c>
      <c r="H3" s="1">
        <v>38791</v>
      </c>
      <c r="I3">
        <v>6510</v>
      </c>
      <c r="J3">
        <v>6454</v>
      </c>
      <c r="K3">
        <f>J3-I3</f>
        <v>-56</v>
      </c>
      <c r="L3">
        <v>-56</v>
      </c>
      <c r="M3">
        <v>6475</v>
      </c>
      <c r="N3">
        <f>M3-I3</f>
        <v>-35</v>
      </c>
      <c r="O3">
        <v>-35</v>
      </c>
      <c r="P3">
        <v>6486</v>
      </c>
      <c r="Q3">
        <f>P3-I3</f>
        <v>-24</v>
      </c>
      <c r="R3">
        <v>-24</v>
      </c>
      <c r="S3" t="str">
        <f>IF(LEFT(T3,1)="n","n","y")</f>
        <v>n</v>
      </c>
      <c r="T3" t="s">
        <v>15</v>
      </c>
      <c r="U3" t="s">
        <v>18</v>
      </c>
      <c r="V3">
        <f>COUNTIF(T:T,"n/n/n")</f>
        <v>24</v>
      </c>
      <c r="W3" s="2">
        <f>V3/$V$11</f>
        <v>0.25806451612903225</v>
      </c>
      <c r="X3">
        <f>AVERAGEIF(S:S,"n",K:K)</f>
        <v>-50.225000000000001</v>
      </c>
      <c r="Y3">
        <f>SUMIF(S:S,"n",K:K)</f>
        <v>-2009</v>
      </c>
      <c r="Z3">
        <f>AVERAGEIF(S:S,"n",N:N)</f>
        <v>-69.825000000000003</v>
      </c>
      <c r="AA3">
        <f>SUMIF(S:S,"n",N:N)</f>
        <v>-2793</v>
      </c>
      <c r="AB3">
        <f>AVERAGEIF(S:S,"n",Q:Q)</f>
        <v>-64.525000000000006</v>
      </c>
      <c r="AC3">
        <f>SUMIF(S:S,"n",Q:Q)</f>
        <v>-2581</v>
      </c>
    </row>
    <row r="4" spans="1:29" x14ac:dyDescent="0.25">
      <c r="A4" s="1">
        <v>38775</v>
      </c>
      <c r="B4">
        <v>6500</v>
      </c>
      <c r="C4">
        <v>6548</v>
      </c>
      <c r="D4">
        <v>6470</v>
      </c>
      <c r="E4">
        <v>6530</v>
      </c>
      <c r="F4">
        <v>6540</v>
      </c>
      <c r="H4" s="1">
        <v>38833</v>
      </c>
      <c r="I4">
        <v>7210</v>
      </c>
      <c r="J4">
        <v>7174</v>
      </c>
      <c r="K4">
        <f t="shared" ref="K4:K67" si="0">J4-I4</f>
        <v>-36</v>
      </c>
      <c r="L4">
        <f>K4+L3</f>
        <v>-92</v>
      </c>
      <c r="M4">
        <v>7186</v>
      </c>
      <c r="N4">
        <f t="shared" ref="N4:N67" si="1">M4-I4</f>
        <v>-24</v>
      </c>
      <c r="O4">
        <f>N4+O3</f>
        <v>-59</v>
      </c>
      <c r="P4">
        <v>7217</v>
      </c>
      <c r="Q4">
        <f t="shared" ref="Q4:Q67" si="2">P4-I4</f>
        <v>7</v>
      </c>
      <c r="R4">
        <f>Q4+R3</f>
        <v>-17</v>
      </c>
      <c r="S4" t="str">
        <f t="shared" ref="S4:S67" si="3">IF(LEFT(T4,1)="n","n","y")</f>
        <v>n</v>
      </c>
      <c r="T4" t="s">
        <v>11</v>
      </c>
      <c r="U4" t="s">
        <v>19</v>
      </c>
      <c r="V4">
        <f>COUNTIF(T:T,"n/n/y")</f>
        <v>6</v>
      </c>
      <c r="W4" s="2">
        <f t="shared" ref="W4:W10" si="4">V4/$V$11</f>
        <v>6.4516129032258063E-2</v>
      </c>
      <c r="X4">
        <f>AVERAGEIF(S:S,"y",K:K)</f>
        <v>62.283018867924525</v>
      </c>
      <c r="Y4">
        <f>SUMIF(S:S,"y",K:K)</f>
        <v>3301</v>
      </c>
      <c r="Z4">
        <f>AVERAGEIF(S:S,"y",N:N)</f>
        <v>72.830188679245282</v>
      </c>
      <c r="AA4">
        <f>SUMIF(S:S,"y",N:N)</f>
        <v>3860</v>
      </c>
      <c r="AB4">
        <f>AVERAGEIF(S:S,"y",Q:Q)</f>
        <v>63.679245283018865</v>
      </c>
      <c r="AC4">
        <f>SUMIF(S:S,"y",Q:Q)</f>
        <v>3375</v>
      </c>
    </row>
    <row r="5" spans="1:29" x14ac:dyDescent="0.25">
      <c r="A5" s="1">
        <v>38777</v>
      </c>
      <c r="B5">
        <v>6496</v>
      </c>
      <c r="C5">
        <v>6618</v>
      </c>
      <c r="D5">
        <v>6483</v>
      </c>
      <c r="E5">
        <v>6583</v>
      </c>
      <c r="F5">
        <v>6531</v>
      </c>
      <c r="H5" s="1">
        <v>38923</v>
      </c>
      <c r="I5">
        <v>6310</v>
      </c>
      <c r="J5">
        <v>6298</v>
      </c>
      <c r="K5">
        <f t="shared" si="0"/>
        <v>-12</v>
      </c>
      <c r="L5">
        <f>K5+L4</f>
        <v>-104</v>
      </c>
      <c r="M5">
        <v>6405</v>
      </c>
      <c r="N5">
        <f t="shared" si="1"/>
        <v>95</v>
      </c>
      <c r="O5">
        <f>N5+O4</f>
        <v>36</v>
      </c>
      <c r="P5">
        <v>6390</v>
      </c>
      <c r="Q5">
        <f t="shared" si="2"/>
        <v>80</v>
      </c>
      <c r="R5">
        <f>Q5+R4</f>
        <v>63</v>
      </c>
      <c r="S5" t="str">
        <f t="shared" si="3"/>
        <v>n</v>
      </c>
      <c r="T5" t="s">
        <v>12</v>
      </c>
      <c r="U5" t="s">
        <v>20</v>
      </c>
      <c r="V5">
        <f>COUNTIF(T:T,"n/y/n")</f>
        <v>2</v>
      </c>
      <c r="W5" s="2">
        <f t="shared" si="4"/>
        <v>2.1505376344086023E-2</v>
      </c>
    </row>
    <row r="6" spans="1:29" x14ac:dyDescent="0.25">
      <c r="A6" s="1">
        <v>38778</v>
      </c>
      <c r="B6">
        <v>6620</v>
      </c>
      <c r="C6">
        <v>6646</v>
      </c>
      <c r="D6">
        <v>6598</v>
      </c>
      <c r="E6">
        <v>6616</v>
      </c>
      <c r="F6">
        <v>6549.4</v>
      </c>
      <c r="H6" s="1">
        <v>38930</v>
      </c>
      <c r="I6">
        <v>6378</v>
      </c>
      <c r="J6">
        <v>6443</v>
      </c>
      <c r="K6">
        <f t="shared" si="0"/>
        <v>65</v>
      </c>
      <c r="L6">
        <f t="shared" ref="L6:L69" si="5">K6+L5</f>
        <v>-39</v>
      </c>
      <c r="M6">
        <v>6410</v>
      </c>
      <c r="N6">
        <f t="shared" si="1"/>
        <v>32</v>
      </c>
      <c r="O6">
        <f t="shared" ref="O6:O69" si="6">N6+O5</f>
        <v>68</v>
      </c>
      <c r="P6">
        <v>6364</v>
      </c>
      <c r="Q6">
        <f t="shared" si="2"/>
        <v>-14</v>
      </c>
      <c r="R6">
        <f t="shared" ref="R6:R69" si="7">Q6+R5</f>
        <v>49</v>
      </c>
      <c r="S6" t="str">
        <f t="shared" si="3"/>
        <v>y</v>
      </c>
      <c r="T6" t="s">
        <v>13</v>
      </c>
      <c r="U6" t="s">
        <v>21</v>
      </c>
      <c r="V6">
        <f>COUNTIF(T:T,"n/y/y")</f>
        <v>8</v>
      </c>
      <c r="W6" s="2">
        <f t="shared" si="4"/>
        <v>8.6021505376344093E-2</v>
      </c>
    </row>
    <row r="7" spans="1:29" x14ac:dyDescent="0.25">
      <c r="A7" s="1">
        <v>38779</v>
      </c>
      <c r="B7">
        <v>6616</v>
      </c>
      <c r="C7">
        <v>6624</v>
      </c>
      <c r="D7">
        <v>6495</v>
      </c>
      <c r="E7">
        <v>6506</v>
      </c>
      <c r="F7">
        <v>6551.8</v>
      </c>
      <c r="H7" s="1">
        <v>38975</v>
      </c>
      <c r="I7">
        <v>6670</v>
      </c>
      <c r="J7">
        <v>6910</v>
      </c>
      <c r="K7">
        <f t="shared" si="0"/>
        <v>240</v>
      </c>
      <c r="L7">
        <f t="shared" si="5"/>
        <v>201</v>
      </c>
      <c r="M7">
        <v>6883</v>
      </c>
      <c r="N7">
        <f t="shared" si="1"/>
        <v>213</v>
      </c>
      <c r="O7">
        <f t="shared" si="6"/>
        <v>281</v>
      </c>
      <c r="P7">
        <v>6899</v>
      </c>
      <c r="Q7">
        <f t="shared" si="2"/>
        <v>229</v>
      </c>
      <c r="R7">
        <f t="shared" si="7"/>
        <v>278</v>
      </c>
      <c r="S7" t="str">
        <f t="shared" si="3"/>
        <v>y</v>
      </c>
      <c r="T7" t="s">
        <v>14</v>
      </c>
      <c r="U7" t="s">
        <v>22</v>
      </c>
      <c r="V7">
        <f>COUNTIF(T:T,"y/n/n")</f>
        <v>8</v>
      </c>
      <c r="W7" s="2">
        <f t="shared" si="4"/>
        <v>8.6021505376344093E-2</v>
      </c>
    </row>
    <row r="8" spans="1:29" x14ac:dyDescent="0.25">
      <c r="A8" s="1">
        <v>38782</v>
      </c>
      <c r="B8">
        <v>6500</v>
      </c>
      <c r="C8">
        <v>6549</v>
      </c>
      <c r="D8">
        <v>6485</v>
      </c>
      <c r="E8">
        <v>6545</v>
      </c>
      <c r="F8">
        <v>6556</v>
      </c>
      <c r="H8" s="1">
        <v>38985</v>
      </c>
      <c r="I8">
        <v>6924</v>
      </c>
      <c r="J8">
        <v>6895</v>
      </c>
      <c r="K8">
        <f t="shared" si="0"/>
        <v>-29</v>
      </c>
      <c r="L8">
        <f t="shared" si="5"/>
        <v>172</v>
      </c>
      <c r="M8">
        <v>6957</v>
      </c>
      <c r="N8">
        <f t="shared" si="1"/>
        <v>33</v>
      </c>
      <c r="O8">
        <f t="shared" si="6"/>
        <v>314</v>
      </c>
      <c r="P8">
        <v>6860</v>
      </c>
      <c r="Q8">
        <f t="shared" si="2"/>
        <v>-64</v>
      </c>
      <c r="R8">
        <f t="shared" si="7"/>
        <v>214</v>
      </c>
      <c r="S8" t="str">
        <f t="shared" si="3"/>
        <v>n</v>
      </c>
      <c r="T8" t="s">
        <v>21</v>
      </c>
      <c r="U8" t="s">
        <v>23</v>
      </c>
      <c r="V8">
        <f>COUNTIF(T:T,"y/n/y")</f>
        <v>4</v>
      </c>
      <c r="W8" s="2">
        <f t="shared" si="4"/>
        <v>4.3010752688172046E-2</v>
      </c>
    </row>
    <row r="9" spans="1:29" x14ac:dyDescent="0.25">
      <c r="A9" s="1">
        <v>38783</v>
      </c>
      <c r="B9">
        <v>6515</v>
      </c>
      <c r="C9">
        <v>6516</v>
      </c>
      <c r="D9">
        <v>6455</v>
      </c>
      <c r="E9">
        <v>6473</v>
      </c>
      <c r="F9">
        <v>6544.6</v>
      </c>
      <c r="H9" s="1">
        <v>38995</v>
      </c>
      <c r="I9">
        <v>7013</v>
      </c>
      <c r="J9">
        <v>7009</v>
      </c>
      <c r="K9">
        <f t="shared" si="0"/>
        <v>-4</v>
      </c>
      <c r="L9">
        <f t="shared" si="5"/>
        <v>168</v>
      </c>
      <c r="M9">
        <v>6986</v>
      </c>
      <c r="N9">
        <f t="shared" si="1"/>
        <v>-27</v>
      </c>
      <c r="O9">
        <f t="shared" si="6"/>
        <v>287</v>
      </c>
      <c r="P9">
        <v>7086</v>
      </c>
      <c r="Q9">
        <f t="shared" si="2"/>
        <v>73</v>
      </c>
      <c r="R9">
        <f t="shared" si="7"/>
        <v>287</v>
      </c>
      <c r="S9" t="str">
        <f t="shared" si="3"/>
        <v>n</v>
      </c>
      <c r="T9" t="s">
        <v>11</v>
      </c>
      <c r="U9" t="s">
        <v>24</v>
      </c>
      <c r="V9">
        <f>COUNTIF(T:T,"y/y/n")</f>
        <v>8</v>
      </c>
      <c r="W9" s="2">
        <f t="shared" si="4"/>
        <v>8.6021505376344093E-2</v>
      </c>
    </row>
    <row r="10" spans="1:29" x14ac:dyDescent="0.25">
      <c r="A10" s="1">
        <v>38784</v>
      </c>
      <c r="B10">
        <v>6460</v>
      </c>
      <c r="C10">
        <v>6505</v>
      </c>
      <c r="D10">
        <v>6406</v>
      </c>
      <c r="E10">
        <v>6453</v>
      </c>
      <c r="F10">
        <v>6518.6</v>
      </c>
      <c r="H10" s="1">
        <v>39031</v>
      </c>
      <c r="I10">
        <v>7165</v>
      </c>
      <c r="J10">
        <v>7140</v>
      </c>
      <c r="K10">
        <f t="shared" si="0"/>
        <v>-25</v>
      </c>
      <c r="L10">
        <f t="shared" si="5"/>
        <v>143</v>
      </c>
      <c r="M10">
        <v>7205</v>
      </c>
      <c r="N10">
        <f t="shared" si="1"/>
        <v>40</v>
      </c>
      <c r="O10">
        <f t="shared" si="6"/>
        <v>327</v>
      </c>
      <c r="P10">
        <v>7248</v>
      </c>
      <c r="Q10">
        <f t="shared" si="2"/>
        <v>83</v>
      </c>
      <c r="R10">
        <f t="shared" si="7"/>
        <v>370</v>
      </c>
      <c r="S10" t="str">
        <f t="shared" si="3"/>
        <v>n</v>
      </c>
      <c r="T10" t="s">
        <v>12</v>
      </c>
      <c r="U10" t="s">
        <v>25</v>
      </c>
      <c r="V10">
        <f>COUNTIF(T:T,"y/y/y")</f>
        <v>33</v>
      </c>
      <c r="W10" s="2">
        <f t="shared" si="4"/>
        <v>0.35483870967741937</v>
      </c>
    </row>
    <row r="11" spans="1:29" x14ac:dyDescent="0.25">
      <c r="A11" s="1">
        <v>38785</v>
      </c>
      <c r="B11">
        <v>6467</v>
      </c>
      <c r="C11">
        <v>6500</v>
      </c>
      <c r="D11">
        <v>6448</v>
      </c>
      <c r="E11">
        <v>6476</v>
      </c>
      <c r="F11">
        <v>6490.6</v>
      </c>
      <c r="H11" s="1">
        <v>39035</v>
      </c>
      <c r="I11">
        <v>7205</v>
      </c>
      <c r="J11">
        <v>7248</v>
      </c>
      <c r="K11">
        <f t="shared" si="0"/>
        <v>43</v>
      </c>
      <c r="L11">
        <f t="shared" si="5"/>
        <v>186</v>
      </c>
      <c r="M11">
        <v>7245</v>
      </c>
      <c r="N11">
        <f t="shared" si="1"/>
        <v>40</v>
      </c>
      <c r="O11">
        <f t="shared" si="6"/>
        <v>367</v>
      </c>
      <c r="P11">
        <v>7256</v>
      </c>
      <c r="Q11">
        <f t="shared" si="2"/>
        <v>51</v>
      </c>
      <c r="R11">
        <f t="shared" si="7"/>
        <v>421</v>
      </c>
      <c r="S11" t="str">
        <f t="shared" si="3"/>
        <v>y</v>
      </c>
      <c r="T11" t="s">
        <v>14</v>
      </c>
      <c r="U11" t="s">
        <v>26</v>
      </c>
      <c r="V11">
        <f>SUM(V3:V10)</f>
        <v>93</v>
      </c>
    </row>
    <row r="12" spans="1:29" x14ac:dyDescent="0.25">
      <c r="A12" s="1">
        <v>38786</v>
      </c>
      <c r="B12">
        <v>6475</v>
      </c>
      <c r="C12">
        <v>6514</v>
      </c>
      <c r="D12">
        <v>6440</v>
      </c>
      <c r="E12">
        <v>6470</v>
      </c>
      <c r="F12">
        <v>6483.4</v>
      </c>
      <c r="H12" s="1">
        <v>39042</v>
      </c>
      <c r="I12">
        <v>7310</v>
      </c>
      <c r="J12">
        <v>7340</v>
      </c>
      <c r="K12">
        <f t="shared" si="0"/>
        <v>30</v>
      </c>
      <c r="L12">
        <f t="shared" si="5"/>
        <v>216</v>
      </c>
      <c r="M12">
        <v>7395</v>
      </c>
      <c r="N12">
        <f t="shared" si="1"/>
        <v>85</v>
      </c>
      <c r="O12">
        <f t="shared" si="6"/>
        <v>452</v>
      </c>
      <c r="P12">
        <v>7431</v>
      </c>
      <c r="Q12">
        <f t="shared" si="2"/>
        <v>121</v>
      </c>
      <c r="R12">
        <f t="shared" si="7"/>
        <v>542</v>
      </c>
      <c r="S12" t="str">
        <f t="shared" si="3"/>
        <v>y</v>
      </c>
      <c r="T12" t="s">
        <v>14</v>
      </c>
    </row>
    <row r="13" spans="1:29" x14ac:dyDescent="0.25">
      <c r="A13" s="1">
        <v>38789</v>
      </c>
      <c r="B13">
        <v>6505</v>
      </c>
      <c r="C13">
        <v>6534</v>
      </c>
      <c r="D13">
        <v>6485</v>
      </c>
      <c r="E13">
        <v>6534</v>
      </c>
      <c r="F13">
        <v>6481.2</v>
      </c>
      <c r="H13" s="1">
        <v>39156</v>
      </c>
      <c r="I13">
        <v>7660</v>
      </c>
      <c r="J13">
        <v>7676</v>
      </c>
      <c r="K13">
        <f t="shared" si="0"/>
        <v>16</v>
      </c>
      <c r="L13">
        <f t="shared" si="5"/>
        <v>232</v>
      </c>
      <c r="M13">
        <v>7715</v>
      </c>
      <c r="N13">
        <f t="shared" si="1"/>
        <v>55</v>
      </c>
      <c r="O13">
        <f t="shared" si="6"/>
        <v>507</v>
      </c>
      <c r="P13">
        <v>7718</v>
      </c>
      <c r="Q13">
        <f t="shared" si="2"/>
        <v>58</v>
      </c>
      <c r="R13">
        <f t="shared" si="7"/>
        <v>600</v>
      </c>
      <c r="S13" t="str">
        <f t="shared" si="3"/>
        <v>y</v>
      </c>
      <c r="T13" t="s">
        <v>14</v>
      </c>
    </row>
    <row r="14" spans="1:29" x14ac:dyDescent="0.25">
      <c r="A14" s="1">
        <v>38790</v>
      </c>
      <c r="B14">
        <v>6521</v>
      </c>
      <c r="C14">
        <v>6528</v>
      </c>
      <c r="D14">
        <v>6420</v>
      </c>
      <c r="E14">
        <v>6450</v>
      </c>
      <c r="F14">
        <v>6476.6</v>
      </c>
      <c r="H14" s="1">
        <v>39186</v>
      </c>
      <c r="I14">
        <v>8065</v>
      </c>
      <c r="J14">
        <v>8060</v>
      </c>
      <c r="K14">
        <f t="shared" si="0"/>
        <v>-5</v>
      </c>
      <c r="L14">
        <f t="shared" si="5"/>
        <v>227</v>
      </c>
      <c r="M14">
        <v>7968</v>
      </c>
      <c r="N14">
        <f t="shared" si="1"/>
        <v>-97</v>
      </c>
      <c r="O14">
        <f t="shared" si="6"/>
        <v>410</v>
      </c>
      <c r="P14">
        <v>8010</v>
      </c>
      <c r="Q14">
        <f t="shared" si="2"/>
        <v>-55</v>
      </c>
      <c r="R14">
        <f t="shared" si="7"/>
        <v>545</v>
      </c>
      <c r="S14" t="str">
        <f t="shared" si="3"/>
        <v>n</v>
      </c>
      <c r="T14" t="s">
        <v>15</v>
      </c>
    </row>
    <row r="15" spans="1:29" x14ac:dyDescent="0.25">
      <c r="A15" s="1">
        <v>38791</v>
      </c>
      <c r="B15">
        <v>6470</v>
      </c>
      <c r="C15">
        <v>6533</v>
      </c>
      <c r="D15">
        <v>6463</v>
      </c>
      <c r="E15">
        <v>6510</v>
      </c>
      <c r="F15">
        <v>6488</v>
      </c>
      <c r="H15" s="1">
        <v>39244</v>
      </c>
      <c r="I15">
        <v>8310</v>
      </c>
      <c r="J15">
        <v>8336</v>
      </c>
      <c r="K15">
        <f t="shared" si="0"/>
        <v>26</v>
      </c>
      <c r="L15">
        <f t="shared" si="5"/>
        <v>253</v>
      </c>
      <c r="M15">
        <v>8333</v>
      </c>
      <c r="N15">
        <f t="shared" si="1"/>
        <v>23</v>
      </c>
      <c r="O15">
        <f t="shared" si="6"/>
        <v>433</v>
      </c>
      <c r="P15">
        <v>8455</v>
      </c>
      <c r="Q15">
        <f t="shared" si="2"/>
        <v>145</v>
      </c>
      <c r="R15">
        <f t="shared" si="7"/>
        <v>690</v>
      </c>
      <c r="S15" t="str">
        <f t="shared" si="3"/>
        <v>y</v>
      </c>
      <c r="T15" t="s">
        <v>14</v>
      </c>
    </row>
    <row r="16" spans="1:29" x14ac:dyDescent="0.25">
      <c r="A16" s="1">
        <v>38792</v>
      </c>
      <c r="B16">
        <v>6498</v>
      </c>
      <c r="C16">
        <v>6555</v>
      </c>
      <c r="D16">
        <v>6448</v>
      </c>
      <c r="E16">
        <v>6454</v>
      </c>
      <c r="F16">
        <v>6483.6</v>
      </c>
      <c r="H16" s="1">
        <v>39258</v>
      </c>
      <c r="I16">
        <v>8903</v>
      </c>
      <c r="J16">
        <v>8841</v>
      </c>
      <c r="K16">
        <f t="shared" si="0"/>
        <v>-62</v>
      </c>
      <c r="L16">
        <f t="shared" si="5"/>
        <v>191</v>
      </c>
      <c r="M16">
        <v>8780</v>
      </c>
      <c r="N16">
        <f t="shared" si="1"/>
        <v>-123</v>
      </c>
      <c r="O16">
        <f t="shared" si="6"/>
        <v>310</v>
      </c>
      <c r="P16">
        <v>8835</v>
      </c>
      <c r="Q16">
        <f t="shared" si="2"/>
        <v>-68</v>
      </c>
      <c r="R16">
        <f t="shared" si="7"/>
        <v>622</v>
      </c>
      <c r="S16" t="str">
        <f t="shared" si="3"/>
        <v>n</v>
      </c>
      <c r="T16" t="s">
        <v>15</v>
      </c>
    </row>
    <row r="17" spans="1:20" x14ac:dyDescent="0.25">
      <c r="A17" s="1">
        <v>38793</v>
      </c>
      <c r="B17">
        <v>6455</v>
      </c>
      <c r="C17">
        <v>6480</v>
      </c>
      <c r="D17">
        <v>6421</v>
      </c>
      <c r="E17">
        <v>6475</v>
      </c>
      <c r="F17">
        <v>6484.6</v>
      </c>
      <c r="H17" s="1">
        <v>39265</v>
      </c>
      <c r="I17">
        <v>8894</v>
      </c>
      <c r="J17">
        <v>8971</v>
      </c>
      <c r="K17">
        <f t="shared" si="0"/>
        <v>77</v>
      </c>
      <c r="L17">
        <f t="shared" si="5"/>
        <v>268</v>
      </c>
      <c r="M17">
        <v>9050</v>
      </c>
      <c r="N17">
        <f t="shared" si="1"/>
        <v>156</v>
      </c>
      <c r="O17">
        <f t="shared" si="6"/>
        <v>466</v>
      </c>
      <c r="P17">
        <v>9123</v>
      </c>
      <c r="Q17">
        <f t="shared" si="2"/>
        <v>229</v>
      </c>
      <c r="R17">
        <f t="shared" si="7"/>
        <v>851</v>
      </c>
      <c r="S17" t="str">
        <f t="shared" si="3"/>
        <v>y</v>
      </c>
      <c r="T17" t="s">
        <v>14</v>
      </c>
    </row>
    <row r="18" spans="1:20" x14ac:dyDescent="0.25">
      <c r="A18" s="1">
        <v>38796</v>
      </c>
      <c r="B18">
        <v>6491</v>
      </c>
      <c r="C18">
        <v>6525</v>
      </c>
      <c r="D18">
        <v>6458</v>
      </c>
      <c r="E18">
        <v>6486</v>
      </c>
      <c r="F18">
        <v>6475</v>
      </c>
      <c r="H18" s="1">
        <v>39275</v>
      </c>
      <c r="I18">
        <v>9328</v>
      </c>
      <c r="J18">
        <v>9462</v>
      </c>
      <c r="K18">
        <f t="shared" si="0"/>
        <v>134</v>
      </c>
      <c r="L18">
        <f t="shared" si="5"/>
        <v>402</v>
      </c>
      <c r="M18">
        <v>9373</v>
      </c>
      <c r="N18">
        <f t="shared" si="1"/>
        <v>45</v>
      </c>
      <c r="O18">
        <f t="shared" si="6"/>
        <v>511</v>
      </c>
      <c r="P18">
        <v>9527</v>
      </c>
      <c r="Q18">
        <f t="shared" si="2"/>
        <v>199</v>
      </c>
      <c r="R18">
        <f t="shared" si="7"/>
        <v>1050</v>
      </c>
      <c r="S18" t="str">
        <f t="shared" si="3"/>
        <v>y</v>
      </c>
      <c r="T18" t="s">
        <v>14</v>
      </c>
    </row>
    <row r="19" spans="1:20" x14ac:dyDescent="0.25">
      <c r="A19" s="1">
        <v>38797</v>
      </c>
      <c r="B19">
        <v>6480</v>
      </c>
      <c r="C19">
        <v>6514</v>
      </c>
      <c r="D19">
        <v>6442</v>
      </c>
      <c r="E19">
        <v>6450</v>
      </c>
      <c r="F19">
        <v>6475</v>
      </c>
      <c r="H19" s="1">
        <v>39283</v>
      </c>
      <c r="I19">
        <v>9540</v>
      </c>
      <c r="J19">
        <v>9555</v>
      </c>
      <c r="K19">
        <f t="shared" si="0"/>
        <v>15</v>
      </c>
      <c r="L19">
        <f t="shared" si="5"/>
        <v>417</v>
      </c>
      <c r="M19">
        <v>9670</v>
      </c>
      <c r="N19">
        <f t="shared" si="1"/>
        <v>130</v>
      </c>
      <c r="O19">
        <f t="shared" si="6"/>
        <v>641</v>
      </c>
      <c r="P19">
        <v>9735</v>
      </c>
      <c r="Q19">
        <f t="shared" si="2"/>
        <v>195</v>
      </c>
      <c r="R19">
        <f t="shared" si="7"/>
        <v>1245</v>
      </c>
      <c r="S19" t="str">
        <f t="shared" si="3"/>
        <v>y</v>
      </c>
      <c r="T19" t="s">
        <v>14</v>
      </c>
    </row>
    <row r="20" spans="1:20" x14ac:dyDescent="0.25">
      <c r="A20" s="1">
        <v>38798</v>
      </c>
      <c r="B20">
        <v>6426</v>
      </c>
      <c r="C20">
        <v>6428</v>
      </c>
      <c r="D20">
        <v>6357</v>
      </c>
      <c r="E20">
        <v>6360</v>
      </c>
      <c r="F20">
        <v>6445</v>
      </c>
      <c r="H20" s="1">
        <v>39324</v>
      </c>
      <c r="I20">
        <v>8700</v>
      </c>
      <c r="J20">
        <v>8984</v>
      </c>
      <c r="K20">
        <f t="shared" si="0"/>
        <v>284</v>
      </c>
      <c r="L20">
        <f t="shared" si="5"/>
        <v>701</v>
      </c>
      <c r="M20">
        <v>8963</v>
      </c>
      <c r="N20">
        <f t="shared" si="1"/>
        <v>263</v>
      </c>
      <c r="O20">
        <f t="shared" si="6"/>
        <v>904</v>
      </c>
      <c r="P20">
        <v>8895</v>
      </c>
      <c r="Q20">
        <f t="shared" si="2"/>
        <v>195</v>
      </c>
      <c r="R20">
        <f t="shared" si="7"/>
        <v>1440</v>
      </c>
      <c r="S20" t="str">
        <f t="shared" si="3"/>
        <v>y</v>
      </c>
      <c r="T20" t="s">
        <v>14</v>
      </c>
    </row>
    <row r="21" spans="1:20" x14ac:dyDescent="0.25">
      <c r="A21" s="1">
        <v>38799</v>
      </c>
      <c r="B21">
        <v>6380</v>
      </c>
      <c r="C21">
        <v>6386</v>
      </c>
      <c r="D21">
        <v>6322</v>
      </c>
      <c r="E21">
        <v>6355</v>
      </c>
      <c r="F21">
        <v>6425.2</v>
      </c>
      <c r="H21" s="1">
        <v>39331</v>
      </c>
      <c r="I21">
        <v>9009</v>
      </c>
      <c r="J21">
        <v>8970</v>
      </c>
      <c r="K21">
        <f t="shared" si="0"/>
        <v>-39</v>
      </c>
      <c r="L21">
        <f t="shared" si="5"/>
        <v>662</v>
      </c>
      <c r="M21">
        <v>8894</v>
      </c>
      <c r="N21">
        <f t="shared" si="1"/>
        <v>-115</v>
      </c>
      <c r="O21">
        <f t="shared" si="6"/>
        <v>789</v>
      </c>
      <c r="P21">
        <v>9000</v>
      </c>
      <c r="Q21">
        <f t="shared" si="2"/>
        <v>-9</v>
      </c>
      <c r="R21">
        <f t="shared" si="7"/>
        <v>1431</v>
      </c>
      <c r="S21" t="str">
        <f t="shared" si="3"/>
        <v>n</v>
      </c>
      <c r="T21" t="s">
        <v>15</v>
      </c>
    </row>
    <row r="22" spans="1:20" x14ac:dyDescent="0.25">
      <c r="A22" s="1">
        <v>38800</v>
      </c>
      <c r="B22">
        <v>6358</v>
      </c>
      <c r="C22">
        <v>6374</v>
      </c>
      <c r="D22">
        <v>6336</v>
      </c>
      <c r="E22">
        <v>6366</v>
      </c>
      <c r="F22">
        <v>6403.4</v>
      </c>
      <c r="H22" s="1">
        <v>39336</v>
      </c>
      <c r="I22">
        <v>9000</v>
      </c>
      <c r="J22">
        <v>8935</v>
      </c>
      <c r="K22">
        <f t="shared" si="0"/>
        <v>-65</v>
      </c>
      <c r="L22">
        <f t="shared" si="5"/>
        <v>597</v>
      </c>
      <c r="M22">
        <v>8919</v>
      </c>
      <c r="N22">
        <f t="shared" si="1"/>
        <v>-81</v>
      </c>
      <c r="O22">
        <f t="shared" si="6"/>
        <v>708</v>
      </c>
      <c r="P22">
        <v>9029</v>
      </c>
      <c r="Q22">
        <f t="shared" si="2"/>
        <v>29</v>
      </c>
      <c r="R22">
        <f t="shared" si="7"/>
        <v>1460</v>
      </c>
      <c r="S22" t="str">
        <f t="shared" si="3"/>
        <v>n</v>
      </c>
      <c r="T22" t="s">
        <v>11</v>
      </c>
    </row>
    <row r="23" spans="1:20" x14ac:dyDescent="0.25">
      <c r="A23" s="1">
        <v>38803</v>
      </c>
      <c r="B23">
        <v>6380</v>
      </c>
      <c r="C23">
        <v>6395</v>
      </c>
      <c r="D23">
        <v>6364</v>
      </c>
      <c r="E23">
        <v>6388</v>
      </c>
      <c r="F23">
        <v>6383.8</v>
      </c>
      <c r="H23" s="1">
        <v>39363</v>
      </c>
      <c r="I23">
        <v>9741</v>
      </c>
      <c r="J23">
        <v>9654</v>
      </c>
      <c r="K23">
        <f t="shared" si="0"/>
        <v>-87</v>
      </c>
      <c r="L23">
        <f t="shared" si="5"/>
        <v>510</v>
      </c>
      <c r="M23">
        <v>9745</v>
      </c>
      <c r="N23">
        <f t="shared" si="1"/>
        <v>4</v>
      </c>
      <c r="O23">
        <f t="shared" si="6"/>
        <v>712</v>
      </c>
      <c r="P23">
        <v>9453</v>
      </c>
      <c r="Q23">
        <f t="shared" si="2"/>
        <v>-288</v>
      </c>
      <c r="R23">
        <f t="shared" si="7"/>
        <v>1172</v>
      </c>
      <c r="S23" t="str">
        <f t="shared" si="3"/>
        <v>n</v>
      </c>
      <c r="T23" t="s">
        <v>10</v>
      </c>
    </row>
    <row r="24" spans="1:20" x14ac:dyDescent="0.25">
      <c r="A24" s="1">
        <v>38804</v>
      </c>
      <c r="B24">
        <v>6370</v>
      </c>
      <c r="C24">
        <v>6425</v>
      </c>
      <c r="D24">
        <v>6370</v>
      </c>
      <c r="E24">
        <v>6405</v>
      </c>
      <c r="F24">
        <v>6374.8</v>
      </c>
      <c r="H24" s="1">
        <v>39366</v>
      </c>
      <c r="I24">
        <v>9745</v>
      </c>
      <c r="J24">
        <v>9453</v>
      </c>
      <c r="K24">
        <f t="shared" si="0"/>
        <v>-292</v>
      </c>
      <c r="L24">
        <f t="shared" si="5"/>
        <v>218</v>
      </c>
      <c r="M24">
        <v>9504</v>
      </c>
      <c r="N24">
        <f t="shared" si="1"/>
        <v>-241</v>
      </c>
      <c r="O24">
        <f t="shared" si="6"/>
        <v>471</v>
      </c>
      <c r="P24">
        <v>9561</v>
      </c>
      <c r="Q24">
        <f t="shared" si="2"/>
        <v>-184</v>
      </c>
      <c r="R24">
        <f t="shared" si="7"/>
        <v>988</v>
      </c>
      <c r="S24" t="str">
        <f t="shared" si="3"/>
        <v>n</v>
      </c>
      <c r="T24" t="s">
        <v>15</v>
      </c>
    </row>
    <row r="25" spans="1:20" x14ac:dyDescent="0.25">
      <c r="A25" s="1">
        <v>38805</v>
      </c>
      <c r="B25">
        <v>6380</v>
      </c>
      <c r="C25">
        <v>6450</v>
      </c>
      <c r="D25">
        <v>6375</v>
      </c>
      <c r="E25">
        <v>6446</v>
      </c>
      <c r="F25">
        <v>6392</v>
      </c>
      <c r="H25" s="1">
        <v>39437</v>
      </c>
      <c r="I25">
        <v>7972</v>
      </c>
      <c r="J25">
        <v>8135</v>
      </c>
      <c r="K25">
        <f t="shared" si="0"/>
        <v>163</v>
      </c>
      <c r="L25">
        <f t="shared" si="5"/>
        <v>381</v>
      </c>
      <c r="M25">
        <v>8150</v>
      </c>
      <c r="N25">
        <f t="shared" si="1"/>
        <v>178</v>
      </c>
      <c r="O25">
        <f t="shared" si="6"/>
        <v>649</v>
      </c>
      <c r="P25">
        <v>8190</v>
      </c>
      <c r="Q25">
        <f t="shared" si="2"/>
        <v>218</v>
      </c>
      <c r="R25">
        <f t="shared" si="7"/>
        <v>1206</v>
      </c>
      <c r="S25" t="str">
        <f t="shared" si="3"/>
        <v>y</v>
      </c>
      <c r="T25" t="s">
        <v>14</v>
      </c>
    </row>
    <row r="26" spans="1:20" x14ac:dyDescent="0.25">
      <c r="A26" s="1">
        <v>38806</v>
      </c>
      <c r="B26">
        <v>6466</v>
      </c>
      <c r="C26">
        <v>6518</v>
      </c>
      <c r="D26">
        <v>6455</v>
      </c>
      <c r="E26">
        <v>6481</v>
      </c>
      <c r="F26">
        <v>6417.2</v>
      </c>
      <c r="H26" s="1">
        <v>39461</v>
      </c>
      <c r="I26">
        <v>8249</v>
      </c>
      <c r="J26">
        <v>8500</v>
      </c>
      <c r="K26">
        <f t="shared" si="0"/>
        <v>251</v>
      </c>
      <c r="L26">
        <f t="shared" si="5"/>
        <v>632</v>
      </c>
      <c r="M26">
        <v>8145</v>
      </c>
      <c r="N26">
        <f t="shared" si="1"/>
        <v>-104</v>
      </c>
      <c r="O26">
        <f t="shared" si="6"/>
        <v>545</v>
      </c>
      <c r="P26">
        <v>8088</v>
      </c>
      <c r="Q26">
        <f t="shared" si="2"/>
        <v>-161</v>
      </c>
      <c r="R26">
        <f t="shared" si="7"/>
        <v>1045</v>
      </c>
      <c r="S26" t="str">
        <f t="shared" si="3"/>
        <v>y</v>
      </c>
      <c r="T26" t="s">
        <v>16</v>
      </c>
    </row>
    <row r="27" spans="1:20" x14ac:dyDescent="0.25">
      <c r="A27" s="1">
        <v>38807</v>
      </c>
      <c r="B27">
        <v>6482</v>
      </c>
      <c r="C27">
        <v>6590</v>
      </c>
      <c r="D27">
        <v>6482</v>
      </c>
      <c r="E27">
        <v>6564</v>
      </c>
      <c r="F27">
        <v>6456.8</v>
      </c>
      <c r="H27" s="1">
        <v>39476</v>
      </c>
      <c r="I27">
        <v>7530</v>
      </c>
      <c r="J27">
        <v>7515</v>
      </c>
      <c r="K27">
        <f t="shared" si="0"/>
        <v>-15</v>
      </c>
      <c r="L27">
        <f t="shared" si="5"/>
        <v>617</v>
      </c>
      <c r="M27">
        <v>7469</v>
      </c>
      <c r="N27">
        <f t="shared" si="1"/>
        <v>-61</v>
      </c>
      <c r="O27">
        <f t="shared" si="6"/>
        <v>484</v>
      </c>
      <c r="P27">
        <v>7670</v>
      </c>
      <c r="Q27">
        <f t="shared" si="2"/>
        <v>140</v>
      </c>
      <c r="R27">
        <f t="shared" si="7"/>
        <v>1185</v>
      </c>
      <c r="S27" t="str">
        <f t="shared" si="3"/>
        <v>n</v>
      </c>
      <c r="T27" t="s">
        <v>11</v>
      </c>
    </row>
    <row r="28" spans="1:20" x14ac:dyDescent="0.25">
      <c r="A28" s="1">
        <v>38810</v>
      </c>
      <c r="B28">
        <v>6588</v>
      </c>
      <c r="C28">
        <v>6638</v>
      </c>
      <c r="D28">
        <v>6564</v>
      </c>
      <c r="E28">
        <v>6633</v>
      </c>
      <c r="F28">
        <v>6505.8</v>
      </c>
      <c r="H28" s="1">
        <v>39499</v>
      </c>
      <c r="I28">
        <v>8028</v>
      </c>
      <c r="J28">
        <v>8039</v>
      </c>
      <c r="K28">
        <f t="shared" si="0"/>
        <v>11</v>
      </c>
      <c r="L28">
        <f t="shared" si="5"/>
        <v>628</v>
      </c>
      <c r="M28">
        <v>8229</v>
      </c>
      <c r="N28">
        <f t="shared" si="1"/>
        <v>201</v>
      </c>
      <c r="O28">
        <f t="shared" si="6"/>
        <v>685</v>
      </c>
      <c r="P28">
        <v>8276</v>
      </c>
      <c r="Q28">
        <f t="shared" si="2"/>
        <v>248</v>
      </c>
      <c r="R28">
        <f t="shared" si="7"/>
        <v>1433</v>
      </c>
      <c r="S28" t="str">
        <f t="shared" si="3"/>
        <v>y</v>
      </c>
      <c r="T28" t="s">
        <v>14</v>
      </c>
    </row>
    <row r="29" spans="1:20" x14ac:dyDescent="0.25">
      <c r="A29" s="1">
        <v>38811</v>
      </c>
      <c r="B29">
        <v>6638</v>
      </c>
      <c r="C29">
        <v>6643</v>
      </c>
      <c r="D29">
        <v>6612</v>
      </c>
      <c r="E29">
        <v>6630</v>
      </c>
      <c r="F29">
        <v>6550.8</v>
      </c>
      <c r="H29" s="1">
        <v>39511</v>
      </c>
      <c r="I29">
        <v>8493</v>
      </c>
      <c r="J29">
        <v>8515</v>
      </c>
      <c r="K29">
        <f t="shared" si="0"/>
        <v>22</v>
      </c>
      <c r="L29">
        <f t="shared" si="5"/>
        <v>650</v>
      </c>
      <c r="M29">
        <v>8690</v>
      </c>
      <c r="N29">
        <f t="shared" si="1"/>
        <v>197</v>
      </c>
      <c r="O29">
        <f t="shared" si="6"/>
        <v>882</v>
      </c>
      <c r="P29">
        <v>8525</v>
      </c>
      <c r="Q29">
        <f t="shared" si="2"/>
        <v>32</v>
      </c>
      <c r="R29">
        <f t="shared" si="7"/>
        <v>1465</v>
      </c>
      <c r="S29" t="str">
        <f t="shared" si="3"/>
        <v>y</v>
      </c>
      <c r="T29" t="s">
        <v>14</v>
      </c>
    </row>
    <row r="30" spans="1:20" x14ac:dyDescent="0.25">
      <c r="A30" s="1">
        <v>38813</v>
      </c>
      <c r="B30">
        <v>6662</v>
      </c>
      <c r="C30">
        <v>6735</v>
      </c>
      <c r="D30">
        <v>6658</v>
      </c>
      <c r="E30">
        <v>6731</v>
      </c>
      <c r="F30">
        <v>6607.8</v>
      </c>
      <c r="H30" s="1">
        <v>39701</v>
      </c>
      <c r="I30">
        <v>6457</v>
      </c>
      <c r="J30">
        <v>6230</v>
      </c>
      <c r="K30">
        <f t="shared" si="0"/>
        <v>-227</v>
      </c>
      <c r="L30">
        <f t="shared" si="5"/>
        <v>423</v>
      </c>
      <c r="M30">
        <v>6290</v>
      </c>
      <c r="N30">
        <f t="shared" si="1"/>
        <v>-167</v>
      </c>
      <c r="O30">
        <f t="shared" si="6"/>
        <v>715</v>
      </c>
      <c r="P30">
        <v>5962</v>
      </c>
      <c r="Q30">
        <f t="shared" si="2"/>
        <v>-495</v>
      </c>
      <c r="R30">
        <f t="shared" si="7"/>
        <v>970</v>
      </c>
      <c r="S30" t="str">
        <f t="shared" si="3"/>
        <v>n</v>
      </c>
      <c r="T30" t="s">
        <v>15</v>
      </c>
    </row>
    <row r="31" spans="1:20" x14ac:dyDescent="0.25">
      <c r="A31" s="1">
        <v>38814</v>
      </c>
      <c r="B31">
        <v>6749</v>
      </c>
      <c r="C31">
        <v>6791</v>
      </c>
      <c r="D31">
        <v>6700</v>
      </c>
      <c r="E31">
        <v>6755</v>
      </c>
      <c r="F31">
        <v>6662.6</v>
      </c>
      <c r="H31" s="1">
        <v>39797</v>
      </c>
      <c r="I31">
        <v>4603</v>
      </c>
      <c r="J31">
        <v>4595</v>
      </c>
      <c r="K31">
        <f t="shared" si="0"/>
        <v>-8</v>
      </c>
      <c r="L31">
        <f t="shared" si="5"/>
        <v>415</v>
      </c>
      <c r="M31">
        <v>4666</v>
      </c>
      <c r="N31">
        <f t="shared" si="1"/>
        <v>63</v>
      </c>
      <c r="O31">
        <f t="shared" si="6"/>
        <v>778</v>
      </c>
      <c r="P31">
        <v>4700</v>
      </c>
      <c r="Q31">
        <f t="shared" si="2"/>
        <v>97</v>
      </c>
      <c r="R31">
        <f t="shared" si="7"/>
        <v>1067</v>
      </c>
      <c r="S31" t="str">
        <f t="shared" si="3"/>
        <v>n</v>
      </c>
      <c r="T31" t="s">
        <v>12</v>
      </c>
    </row>
    <row r="32" spans="1:20" x14ac:dyDescent="0.25">
      <c r="A32" s="1">
        <v>38817</v>
      </c>
      <c r="B32">
        <v>6730</v>
      </c>
      <c r="C32">
        <v>6830</v>
      </c>
      <c r="D32">
        <v>6713</v>
      </c>
      <c r="E32">
        <v>6778</v>
      </c>
      <c r="F32">
        <v>6705.4</v>
      </c>
      <c r="H32" s="1">
        <v>39799</v>
      </c>
      <c r="I32">
        <v>4666</v>
      </c>
      <c r="J32">
        <v>4700</v>
      </c>
      <c r="K32">
        <f t="shared" si="0"/>
        <v>34</v>
      </c>
      <c r="L32">
        <f t="shared" si="5"/>
        <v>449</v>
      </c>
      <c r="M32">
        <v>4677</v>
      </c>
      <c r="N32">
        <f t="shared" si="1"/>
        <v>11</v>
      </c>
      <c r="O32">
        <f t="shared" si="6"/>
        <v>789</v>
      </c>
      <c r="P32">
        <v>4522</v>
      </c>
      <c r="Q32">
        <f t="shared" si="2"/>
        <v>-144</v>
      </c>
      <c r="R32">
        <f t="shared" si="7"/>
        <v>923</v>
      </c>
      <c r="S32" t="str">
        <f t="shared" si="3"/>
        <v>y</v>
      </c>
      <c r="T32" t="s">
        <v>13</v>
      </c>
    </row>
    <row r="33" spans="1:20" x14ac:dyDescent="0.25">
      <c r="A33" s="1">
        <v>38818</v>
      </c>
      <c r="B33">
        <v>6775</v>
      </c>
      <c r="C33">
        <v>6775</v>
      </c>
      <c r="D33">
        <v>6710</v>
      </c>
      <c r="E33">
        <v>6754</v>
      </c>
      <c r="F33">
        <v>6729.6</v>
      </c>
      <c r="H33" s="1">
        <v>39857</v>
      </c>
      <c r="I33">
        <v>4568</v>
      </c>
      <c r="J33">
        <v>4572</v>
      </c>
      <c r="K33">
        <f t="shared" si="0"/>
        <v>4</v>
      </c>
      <c r="L33">
        <f t="shared" si="5"/>
        <v>453</v>
      </c>
      <c r="M33">
        <v>4491</v>
      </c>
      <c r="N33">
        <f t="shared" si="1"/>
        <v>-77</v>
      </c>
      <c r="O33">
        <f t="shared" si="6"/>
        <v>712</v>
      </c>
      <c r="P33">
        <v>4515</v>
      </c>
      <c r="Q33">
        <f t="shared" si="2"/>
        <v>-53</v>
      </c>
      <c r="R33">
        <f t="shared" si="7"/>
        <v>870</v>
      </c>
      <c r="S33" t="str">
        <f t="shared" si="3"/>
        <v>y</v>
      </c>
      <c r="T33" t="s">
        <v>16</v>
      </c>
    </row>
    <row r="34" spans="1:20" x14ac:dyDescent="0.25">
      <c r="A34" s="1">
        <v>38819</v>
      </c>
      <c r="B34">
        <v>6714</v>
      </c>
      <c r="C34">
        <v>6805</v>
      </c>
      <c r="D34">
        <v>6690</v>
      </c>
      <c r="E34">
        <v>6803</v>
      </c>
      <c r="F34">
        <v>6764.2</v>
      </c>
      <c r="H34" s="1">
        <v>39912</v>
      </c>
      <c r="I34">
        <v>5718</v>
      </c>
      <c r="J34">
        <v>5829</v>
      </c>
      <c r="K34">
        <f t="shared" si="0"/>
        <v>111</v>
      </c>
      <c r="L34">
        <f t="shared" si="5"/>
        <v>564</v>
      </c>
      <c r="M34">
        <v>5844</v>
      </c>
      <c r="N34">
        <f t="shared" si="1"/>
        <v>126</v>
      </c>
      <c r="O34">
        <f t="shared" si="6"/>
        <v>838</v>
      </c>
      <c r="P34">
        <v>5858</v>
      </c>
      <c r="Q34">
        <f t="shared" si="2"/>
        <v>140</v>
      </c>
      <c r="R34">
        <f t="shared" si="7"/>
        <v>1010</v>
      </c>
      <c r="S34" t="str">
        <f t="shared" si="3"/>
        <v>y</v>
      </c>
      <c r="T34" t="s">
        <v>14</v>
      </c>
    </row>
    <row r="35" spans="1:20" x14ac:dyDescent="0.25">
      <c r="A35" s="1">
        <v>38820</v>
      </c>
      <c r="B35">
        <v>6816</v>
      </c>
      <c r="C35">
        <v>6870</v>
      </c>
      <c r="D35">
        <v>6810</v>
      </c>
      <c r="E35">
        <v>6870</v>
      </c>
      <c r="F35">
        <v>6792</v>
      </c>
      <c r="H35" s="1">
        <v>39926</v>
      </c>
      <c r="I35">
        <v>5904</v>
      </c>
      <c r="J35">
        <v>5903</v>
      </c>
      <c r="K35">
        <f t="shared" si="0"/>
        <v>-1</v>
      </c>
      <c r="L35">
        <f t="shared" si="5"/>
        <v>563</v>
      </c>
      <c r="M35">
        <v>5705</v>
      </c>
      <c r="N35">
        <f t="shared" si="1"/>
        <v>-199</v>
      </c>
      <c r="O35">
        <f t="shared" si="6"/>
        <v>639</v>
      </c>
      <c r="P35">
        <v>5582</v>
      </c>
      <c r="Q35">
        <f t="shared" si="2"/>
        <v>-322</v>
      </c>
      <c r="R35">
        <f t="shared" si="7"/>
        <v>688</v>
      </c>
      <c r="S35" t="str">
        <f t="shared" si="3"/>
        <v>n</v>
      </c>
      <c r="T35" t="s">
        <v>15</v>
      </c>
    </row>
    <row r="36" spans="1:20" x14ac:dyDescent="0.25">
      <c r="A36" s="1">
        <v>38821</v>
      </c>
      <c r="B36">
        <v>6894</v>
      </c>
      <c r="C36">
        <v>7000</v>
      </c>
      <c r="D36">
        <v>6861</v>
      </c>
      <c r="E36">
        <v>7000</v>
      </c>
      <c r="F36">
        <v>6841</v>
      </c>
      <c r="H36" s="1">
        <v>39960</v>
      </c>
      <c r="I36">
        <v>6934</v>
      </c>
      <c r="J36">
        <v>6959</v>
      </c>
      <c r="K36">
        <f t="shared" si="0"/>
        <v>25</v>
      </c>
      <c r="L36">
        <f t="shared" si="5"/>
        <v>588</v>
      </c>
      <c r="M36">
        <v>6919</v>
      </c>
      <c r="N36">
        <f t="shared" si="1"/>
        <v>-15</v>
      </c>
      <c r="O36">
        <f t="shared" si="6"/>
        <v>624</v>
      </c>
      <c r="P36">
        <v>6898</v>
      </c>
      <c r="Q36">
        <f t="shared" si="2"/>
        <v>-36</v>
      </c>
      <c r="R36">
        <f t="shared" si="7"/>
        <v>652</v>
      </c>
      <c r="S36" t="str">
        <f t="shared" si="3"/>
        <v>y</v>
      </c>
      <c r="T36" t="s">
        <v>16</v>
      </c>
    </row>
    <row r="37" spans="1:20" x14ac:dyDescent="0.25">
      <c r="A37" s="1">
        <v>38824</v>
      </c>
      <c r="B37">
        <v>7020</v>
      </c>
      <c r="C37">
        <v>7035</v>
      </c>
      <c r="D37">
        <v>6966</v>
      </c>
      <c r="E37">
        <v>6987</v>
      </c>
      <c r="F37">
        <v>6882.8</v>
      </c>
      <c r="H37" s="1">
        <v>39988</v>
      </c>
      <c r="I37">
        <v>6310</v>
      </c>
      <c r="J37">
        <v>6391</v>
      </c>
      <c r="K37">
        <f t="shared" si="0"/>
        <v>81</v>
      </c>
      <c r="L37">
        <f t="shared" si="5"/>
        <v>669</v>
      </c>
      <c r="M37">
        <v>6387</v>
      </c>
      <c r="N37">
        <f t="shared" si="1"/>
        <v>77</v>
      </c>
      <c r="O37">
        <f t="shared" si="6"/>
        <v>701</v>
      </c>
      <c r="P37">
        <v>6343</v>
      </c>
      <c r="Q37">
        <f t="shared" si="2"/>
        <v>33</v>
      </c>
      <c r="R37">
        <f t="shared" si="7"/>
        <v>685</v>
      </c>
      <c r="S37" t="str">
        <f t="shared" si="3"/>
        <v>y</v>
      </c>
      <c r="T37" t="s">
        <v>14</v>
      </c>
    </row>
    <row r="38" spans="1:20" x14ac:dyDescent="0.25">
      <c r="A38" s="1">
        <v>38825</v>
      </c>
      <c r="B38">
        <v>6986</v>
      </c>
      <c r="C38">
        <v>7006</v>
      </c>
      <c r="D38">
        <v>6913</v>
      </c>
      <c r="E38">
        <v>6980</v>
      </c>
      <c r="F38">
        <v>6928</v>
      </c>
      <c r="H38" s="1">
        <v>40025</v>
      </c>
      <c r="I38">
        <v>7030</v>
      </c>
      <c r="J38">
        <v>6983</v>
      </c>
      <c r="K38">
        <f t="shared" si="0"/>
        <v>-47</v>
      </c>
      <c r="L38">
        <f t="shared" si="5"/>
        <v>622</v>
      </c>
      <c r="M38">
        <v>6876</v>
      </c>
      <c r="N38">
        <f t="shared" si="1"/>
        <v>-154</v>
      </c>
      <c r="O38">
        <f t="shared" si="6"/>
        <v>547</v>
      </c>
      <c r="P38">
        <v>6764</v>
      </c>
      <c r="Q38">
        <f t="shared" si="2"/>
        <v>-266</v>
      </c>
      <c r="R38">
        <f t="shared" si="7"/>
        <v>419</v>
      </c>
      <c r="S38" t="str">
        <f t="shared" si="3"/>
        <v>n</v>
      </c>
      <c r="T38" t="s">
        <v>15</v>
      </c>
    </row>
    <row r="39" spans="1:20" x14ac:dyDescent="0.25">
      <c r="A39" s="1">
        <v>38826</v>
      </c>
      <c r="B39">
        <v>7074</v>
      </c>
      <c r="C39">
        <v>7117</v>
      </c>
      <c r="D39">
        <v>7035</v>
      </c>
      <c r="E39">
        <v>7060</v>
      </c>
      <c r="F39">
        <v>6979.4</v>
      </c>
      <c r="H39" s="1">
        <v>40071</v>
      </c>
      <c r="I39">
        <v>7357</v>
      </c>
      <c r="J39">
        <v>7444</v>
      </c>
      <c r="K39">
        <f t="shared" si="0"/>
        <v>87</v>
      </c>
      <c r="L39">
        <f t="shared" si="5"/>
        <v>709</v>
      </c>
      <c r="M39">
        <v>7465</v>
      </c>
      <c r="N39">
        <f t="shared" si="1"/>
        <v>108</v>
      </c>
      <c r="O39">
        <f t="shared" si="6"/>
        <v>655</v>
      </c>
      <c r="P39">
        <v>7470</v>
      </c>
      <c r="Q39">
        <f t="shared" si="2"/>
        <v>113</v>
      </c>
      <c r="R39">
        <f t="shared" si="7"/>
        <v>532</v>
      </c>
      <c r="S39" t="str">
        <f t="shared" si="3"/>
        <v>y</v>
      </c>
      <c r="T39" t="s">
        <v>14</v>
      </c>
    </row>
    <row r="40" spans="1:20" x14ac:dyDescent="0.25">
      <c r="A40" s="1">
        <v>38827</v>
      </c>
      <c r="B40">
        <v>7060</v>
      </c>
      <c r="C40">
        <v>7124</v>
      </c>
      <c r="D40">
        <v>7030</v>
      </c>
      <c r="E40">
        <v>7122</v>
      </c>
      <c r="F40">
        <v>7029.8</v>
      </c>
      <c r="H40" s="1">
        <v>40154</v>
      </c>
      <c r="I40">
        <v>7752</v>
      </c>
      <c r="J40">
        <v>7755</v>
      </c>
      <c r="K40">
        <f t="shared" si="0"/>
        <v>3</v>
      </c>
      <c r="L40">
        <f t="shared" si="5"/>
        <v>712</v>
      </c>
      <c r="M40">
        <v>7792</v>
      </c>
      <c r="N40">
        <f t="shared" si="1"/>
        <v>40</v>
      </c>
      <c r="O40">
        <f t="shared" si="6"/>
        <v>695</v>
      </c>
      <c r="P40">
        <v>7640</v>
      </c>
      <c r="Q40">
        <f t="shared" si="2"/>
        <v>-112</v>
      </c>
      <c r="R40">
        <f t="shared" si="7"/>
        <v>420</v>
      </c>
      <c r="S40" t="str">
        <f t="shared" si="3"/>
        <v>y</v>
      </c>
      <c r="T40" t="s">
        <v>13</v>
      </c>
    </row>
    <row r="41" spans="1:20" x14ac:dyDescent="0.25">
      <c r="A41" s="1">
        <v>38828</v>
      </c>
      <c r="B41">
        <v>7130</v>
      </c>
      <c r="C41">
        <v>7159</v>
      </c>
      <c r="D41">
        <v>7082</v>
      </c>
      <c r="E41">
        <v>7102</v>
      </c>
      <c r="F41">
        <v>7050.2</v>
      </c>
      <c r="H41" s="1">
        <v>40158</v>
      </c>
      <c r="I41">
        <v>7790</v>
      </c>
      <c r="J41">
        <v>7828</v>
      </c>
      <c r="K41">
        <f t="shared" si="0"/>
        <v>38</v>
      </c>
      <c r="L41">
        <f t="shared" si="5"/>
        <v>750</v>
      </c>
      <c r="M41">
        <v>7798</v>
      </c>
      <c r="N41">
        <f t="shared" si="1"/>
        <v>8</v>
      </c>
      <c r="O41">
        <f t="shared" si="6"/>
        <v>703</v>
      </c>
      <c r="P41">
        <v>7752</v>
      </c>
      <c r="Q41">
        <f t="shared" si="2"/>
        <v>-38</v>
      </c>
      <c r="R41">
        <f t="shared" si="7"/>
        <v>382</v>
      </c>
      <c r="S41" t="str">
        <f t="shared" si="3"/>
        <v>y</v>
      </c>
      <c r="T41" t="s">
        <v>13</v>
      </c>
    </row>
    <row r="42" spans="1:20" x14ac:dyDescent="0.25">
      <c r="A42" s="1">
        <v>38831</v>
      </c>
      <c r="B42">
        <v>7060</v>
      </c>
      <c r="C42">
        <v>7132</v>
      </c>
      <c r="D42">
        <v>7035</v>
      </c>
      <c r="E42">
        <v>7082</v>
      </c>
      <c r="F42">
        <v>7069.2</v>
      </c>
      <c r="H42" s="1">
        <v>40192</v>
      </c>
      <c r="I42">
        <v>8301</v>
      </c>
      <c r="J42">
        <v>8368</v>
      </c>
      <c r="K42">
        <f t="shared" si="0"/>
        <v>67</v>
      </c>
      <c r="L42">
        <f t="shared" si="5"/>
        <v>817</v>
      </c>
      <c r="M42">
        <v>8351</v>
      </c>
      <c r="N42">
        <f t="shared" si="1"/>
        <v>50</v>
      </c>
      <c r="O42">
        <f t="shared" si="6"/>
        <v>753</v>
      </c>
      <c r="P42">
        <v>8268</v>
      </c>
      <c r="Q42">
        <f t="shared" si="2"/>
        <v>-33</v>
      </c>
      <c r="R42">
        <f t="shared" si="7"/>
        <v>349</v>
      </c>
      <c r="S42" t="str">
        <f t="shared" si="3"/>
        <v>y</v>
      </c>
      <c r="T42" t="s">
        <v>13</v>
      </c>
    </row>
    <row r="43" spans="1:20" x14ac:dyDescent="0.25">
      <c r="A43" s="1">
        <v>38832</v>
      </c>
      <c r="B43">
        <v>7090</v>
      </c>
      <c r="C43">
        <v>7152</v>
      </c>
      <c r="D43">
        <v>7030</v>
      </c>
      <c r="E43">
        <v>7052</v>
      </c>
      <c r="F43">
        <v>7083.6</v>
      </c>
      <c r="H43" s="1">
        <v>40242</v>
      </c>
      <c r="I43">
        <v>7656</v>
      </c>
      <c r="J43">
        <v>7756</v>
      </c>
      <c r="K43">
        <f t="shared" si="0"/>
        <v>100</v>
      </c>
      <c r="L43">
        <f t="shared" si="5"/>
        <v>917</v>
      </c>
      <c r="M43">
        <v>7764</v>
      </c>
      <c r="N43">
        <f t="shared" si="1"/>
        <v>108</v>
      </c>
      <c r="O43">
        <f t="shared" si="6"/>
        <v>861</v>
      </c>
      <c r="P43">
        <v>7770</v>
      </c>
      <c r="Q43">
        <f t="shared" si="2"/>
        <v>114</v>
      </c>
      <c r="R43">
        <f t="shared" si="7"/>
        <v>463</v>
      </c>
      <c r="S43" t="str">
        <f t="shared" si="3"/>
        <v>y</v>
      </c>
      <c r="T43" t="s">
        <v>14</v>
      </c>
    </row>
    <row r="44" spans="1:20" x14ac:dyDescent="0.25">
      <c r="A44" s="1">
        <v>38833</v>
      </c>
      <c r="B44">
        <v>7064</v>
      </c>
      <c r="C44">
        <v>7212</v>
      </c>
      <c r="D44">
        <v>7044</v>
      </c>
      <c r="E44">
        <v>7210</v>
      </c>
      <c r="F44">
        <v>7113.6</v>
      </c>
      <c r="H44" s="1">
        <v>40282</v>
      </c>
      <c r="I44">
        <v>8113</v>
      </c>
      <c r="J44">
        <v>8160</v>
      </c>
      <c r="K44">
        <f t="shared" si="0"/>
        <v>47</v>
      </c>
      <c r="L44">
        <f t="shared" si="5"/>
        <v>964</v>
      </c>
      <c r="M44">
        <v>8103</v>
      </c>
      <c r="N44">
        <f t="shared" si="1"/>
        <v>-10</v>
      </c>
      <c r="O44">
        <f t="shared" si="6"/>
        <v>851</v>
      </c>
      <c r="P44">
        <v>7821</v>
      </c>
      <c r="Q44">
        <f t="shared" si="2"/>
        <v>-292</v>
      </c>
      <c r="R44">
        <f t="shared" si="7"/>
        <v>171</v>
      </c>
      <c r="S44" t="str">
        <f t="shared" si="3"/>
        <v>y</v>
      </c>
      <c r="T44" t="s">
        <v>16</v>
      </c>
    </row>
    <row r="45" spans="1:20" x14ac:dyDescent="0.25">
      <c r="A45" s="1">
        <v>38834</v>
      </c>
      <c r="B45">
        <v>7220</v>
      </c>
      <c r="C45">
        <v>7238</v>
      </c>
      <c r="D45">
        <v>7158</v>
      </c>
      <c r="E45">
        <v>7174</v>
      </c>
      <c r="F45">
        <v>7124</v>
      </c>
      <c r="H45" s="1">
        <v>40332</v>
      </c>
      <c r="I45">
        <v>7339</v>
      </c>
      <c r="J45">
        <v>7319</v>
      </c>
      <c r="K45">
        <f t="shared" si="0"/>
        <v>-20</v>
      </c>
      <c r="L45">
        <f t="shared" si="5"/>
        <v>944</v>
      </c>
      <c r="M45">
        <v>7096</v>
      </c>
      <c r="N45">
        <f t="shared" si="1"/>
        <v>-243</v>
      </c>
      <c r="O45">
        <f t="shared" si="6"/>
        <v>608</v>
      </c>
      <c r="P45">
        <v>7129</v>
      </c>
      <c r="Q45">
        <f t="shared" si="2"/>
        <v>-210</v>
      </c>
      <c r="R45">
        <f t="shared" si="7"/>
        <v>-39</v>
      </c>
      <c r="S45" t="str">
        <f t="shared" si="3"/>
        <v>n</v>
      </c>
      <c r="T45" t="s">
        <v>15</v>
      </c>
    </row>
    <row r="46" spans="1:20" x14ac:dyDescent="0.25">
      <c r="A46" s="1">
        <v>38835</v>
      </c>
      <c r="B46">
        <v>7170</v>
      </c>
      <c r="C46">
        <v>7215</v>
      </c>
      <c r="D46">
        <v>7092</v>
      </c>
      <c r="E46">
        <v>7186</v>
      </c>
      <c r="F46">
        <v>7140.8</v>
      </c>
      <c r="H46" s="1">
        <v>40350</v>
      </c>
      <c r="I46">
        <v>7525</v>
      </c>
      <c r="J46">
        <v>7482</v>
      </c>
      <c r="K46">
        <f t="shared" si="0"/>
        <v>-43</v>
      </c>
      <c r="L46">
        <f t="shared" si="5"/>
        <v>901</v>
      </c>
      <c r="M46">
        <v>7438</v>
      </c>
      <c r="N46">
        <f t="shared" si="1"/>
        <v>-87</v>
      </c>
      <c r="O46">
        <f t="shared" si="6"/>
        <v>521</v>
      </c>
      <c r="P46">
        <v>7429</v>
      </c>
      <c r="Q46">
        <f t="shared" si="2"/>
        <v>-96</v>
      </c>
      <c r="R46">
        <f t="shared" si="7"/>
        <v>-135</v>
      </c>
      <c r="S46" t="str">
        <f t="shared" si="3"/>
        <v>n</v>
      </c>
      <c r="T46" t="s">
        <v>15</v>
      </c>
    </row>
    <row r="47" spans="1:20" x14ac:dyDescent="0.25">
      <c r="A47" s="1">
        <v>38839</v>
      </c>
      <c r="B47">
        <v>7175</v>
      </c>
      <c r="C47">
        <v>7223</v>
      </c>
      <c r="D47">
        <v>7138</v>
      </c>
      <c r="E47">
        <v>7217</v>
      </c>
      <c r="F47">
        <v>7167.8</v>
      </c>
      <c r="H47" s="1">
        <v>40379</v>
      </c>
      <c r="I47">
        <v>7711</v>
      </c>
      <c r="J47">
        <v>7688</v>
      </c>
      <c r="K47">
        <f t="shared" si="0"/>
        <v>-23</v>
      </c>
      <c r="L47">
        <f t="shared" si="5"/>
        <v>878</v>
      </c>
      <c r="M47">
        <v>7560</v>
      </c>
      <c r="N47">
        <f t="shared" si="1"/>
        <v>-151</v>
      </c>
      <c r="O47">
        <f t="shared" si="6"/>
        <v>370</v>
      </c>
      <c r="P47">
        <v>7680</v>
      </c>
      <c r="Q47">
        <f t="shared" si="2"/>
        <v>-31</v>
      </c>
      <c r="R47">
        <f t="shared" si="7"/>
        <v>-166</v>
      </c>
      <c r="S47" t="str">
        <f t="shared" si="3"/>
        <v>n</v>
      </c>
      <c r="T47" t="s">
        <v>15</v>
      </c>
    </row>
    <row r="48" spans="1:20" x14ac:dyDescent="0.25">
      <c r="A48" s="1">
        <v>38840</v>
      </c>
      <c r="B48">
        <v>7239</v>
      </c>
      <c r="C48">
        <v>7287</v>
      </c>
      <c r="D48">
        <v>7235</v>
      </c>
      <c r="E48">
        <v>7270</v>
      </c>
      <c r="F48">
        <v>7211.4</v>
      </c>
      <c r="H48" s="1">
        <v>40382</v>
      </c>
      <c r="I48">
        <v>7680</v>
      </c>
      <c r="J48">
        <v>7708</v>
      </c>
      <c r="K48">
        <f t="shared" si="0"/>
        <v>28</v>
      </c>
      <c r="L48">
        <f t="shared" si="5"/>
        <v>906</v>
      </c>
      <c r="M48">
        <v>7659</v>
      </c>
      <c r="N48">
        <f t="shared" si="1"/>
        <v>-21</v>
      </c>
      <c r="O48">
        <f t="shared" si="6"/>
        <v>349</v>
      </c>
      <c r="P48">
        <v>7721</v>
      </c>
      <c r="Q48">
        <f t="shared" si="2"/>
        <v>41</v>
      </c>
      <c r="R48">
        <f t="shared" si="7"/>
        <v>-125</v>
      </c>
      <c r="S48" t="str">
        <f t="shared" si="3"/>
        <v>y</v>
      </c>
      <c r="T48" t="s">
        <v>17</v>
      </c>
    </row>
    <row r="49" spans="1:20" x14ac:dyDescent="0.25">
      <c r="A49" s="1">
        <v>38841</v>
      </c>
      <c r="B49">
        <v>7260</v>
      </c>
      <c r="C49">
        <v>7378</v>
      </c>
      <c r="D49">
        <v>7251</v>
      </c>
      <c r="E49">
        <v>7370</v>
      </c>
      <c r="F49">
        <v>7243.4</v>
      </c>
      <c r="H49" s="1">
        <v>40392</v>
      </c>
      <c r="I49">
        <v>7869</v>
      </c>
      <c r="J49">
        <v>7914</v>
      </c>
      <c r="K49">
        <f t="shared" si="0"/>
        <v>45</v>
      </c>
      <c r="L49">
        <f t="shared" si="5"/>
        <v>951</v>
      </c>
      <c r="M49">
        <v>7910</v>
      </c>
      <c r="N49">
        <f t="shared" si="1"/>
        <v>41</v>
      </c>
      <c r="O49">
        <f t="shared" si="6"/>
        <v>390</v>
      </c>
      <c r="P49">
        <v>7913</v>
      </c>
      <c r="Q49">
        <f t="shared" si="2"/>
        <v>44</v>
      </c>
      <c r="R49">
        <f t="shared" si="7"/>
        <v>-81</v>
      </c>
      <c r="S49" t="str">
        <f t="shared" si="3"/>
        <v>y</v>
      </c>
      <c r="T49" t="s">
        <v>14</v>
      </c>
    </row>
    <row r="50" spans="1:20" x14ac:dyDescent="0.25">
      <c r="A50" s="1">
        <v>38842</v>
      </c>
      <c r="B50">
        <v>7398</v>
      </c>
      <c r="C50">
        <v>7498</v>
      </c>
      <c r="D50">
        <v>7363</v>
      </c>
      <c r="E50">
        <v>7420</v>
      </c>
      <c r="F50">
        <v>7292.6</v>
      </c>
      <c r="H50" s="1">
        <v>40431</v>
      </c>
      <c r="I50">
        <v>7899</v>
      </c>
      <c r="J50">
        <v>8108</v>
      </c>
      <c r="K50">
        <f t="shared" si="0"/>
        <v>209</v>
      </c>
      <c r="L50">
        <f t="shared" si="5"/>
        <v>1160</v>
      </c>
      <c r="M50">
        <v>8120</v>
      </c>
      <c r="N50">
        <f t="shared" si="1"/>
        <v>221</v>
      </c>
      <c r="O50">
        <f t="shared" si="6"/>
        <v>611</v>
      </c>
      <c r="P50">
        <v>8154</v>
      </c>
      <c r="Q50">
        <f t="shared" si="2"/>
        <v>255</v>
      </c>
      <c r="R50">
        <f t="shared" si="7"/>
        <v>174</v>
      </c>
      <c r="S50" t="str">
        <f t="shared" si="3"/>
        <v>y</v>
      </c>
      <c r="T50" t="s">
        <v>14</v>
      </c>
    </row>
    <row r="51" spans="1:20" x14ac:dyDescent="0.25">
      <c r="A51" s="1">
        <v>38845</v>
      </c>
      <c r="B51">
        <v>7465</v>
      </c>
      <c r="C51">
        <v>7516</v>
      </c>
      <c r="D51">
        <v>7436</v>
      </c>
      <c r="E51">
        <v>7515</v>
      </c>
      <c r="F51">
        <v>7358.4</v>
      </c>
      <c r="H51" s="1">
        <v>40448</v>
      </c>
      <c r="I51">
        <v>8187</v>
      </c>
      <c r="J51">
        <v>8181</v>
      </c>
      <c r="K51">
        <f t="shared" si="0"/>
        <v>-6</v>
      </c>
      <c r="L51">
        <f t="shared" si="5"/>
        <v>1154</v>
      </c>
      <c r="M51">
        <v>8213</v>
      </c>
      <c r="N51">
        <f t="shared" si="1"/>
        <v>26</v>
      </c>
      <c r="O51">
        <f t="shared" si="6"/>
        <v>637</v>
      </c>
      <c r="P51">
        <v>8216</v>
      </c>
      <c r="Q51">
        <f t="shared" si="2"/>
        <v>29</v>
      </c>
      <c r="R51">
        <f t="shared" si="7"/>
        <v>203</v>
      </c>
      <c r="S51" t="str">
        <f t="shared" si="3"/>
        <v>n</v>
      </c>
      <c r="T51" t="s">
        <v>12</v>
      </c>
    </row>
    <row r="52" spans="1:20" x14ac:dyDescent="0.25">
      <c r="A52" s="1">
        <v>38846</v>
      </c>
      <c r="B52">
        <v>7510</v>
      </c>
      <c r="C52">
        <v>7515</v>
      </c>
      <c r="D52">
        <v>7395</v>
      </c>
      <c r="E52">
        <v>7400</v>
      </c>
      <c r="F52">
        <v>7395</v>
      </c>
      <c r="H52" s="1">
        <v>40450</v>
      </c>
      <c r="I52">
        <v>8213</v>
      </c>
      <c r="J52">
        <v>8216</v>
      </c>
      <c r="K52">
        <f t="shared" si="0"/>
        <v>3</v>
      </c>
      <c r="L52">
        <f t="shared" si="5"/>
        <v>1157</v>
      </c>
      <c r="M52">
        <v>8237</v>
      </c>
      <c r="N52">
        <f t="shared" si="1"/>
        <v>24</v>
      </c>
      <c r="O52">
        <f t="shared" si="6"/>
        <v>661</v>
      </c>
      <c r="P52">
        <v>8214</v>
      </c>
      <c r="Q52">
        <f t="shared" si="2"/>
        <v>1</v>
      </c>
      <c r="R52">
        <f t="shared" si="7"/>
        <v>204</v>
      </c>
      <c r="S52" t="str">
        <f t="shared" si="3"/>
        <v>y</v>
      </c>
      <c r="T52" t="s">
        <v>14</v>
      </c>
    </row>
    <row r="53" spans="1:20" x14ac:dyDescent="0.25">
      <c r="A53" s="1">
        <v>38847</v>
      </c>
      <c r="B53">
        <v>7403</v>
      </c>
      <c r="C53">
        <v>7445</v>
      </c>
      <c r="D53">
        <v>7281</v>
      </c>
      <c r="E53">
        <v>7320</v>
      </c>
      <c r="F53">
        <v>7405</v>
      </c>
      <c r="H53" s="1">
        <v>40457</v>
      </c>
      <c r="I53">
        <v>8271</v>
      </c>
      <c r="J53">
        <v>8272</v>
      </c>
      <c r="K53">
        <f t="shared" si="0"/>
        <v>1</v>
      </c>
      <c r="L53">
        <f t="shared" si="5"/>
        <v>1158</v>
      </c>
      <c r="M53">
        <v>8216</v>
      </c>
      <c r="N53">
        <f t="shared" si="1"/>
        <v>-55</v>
      </c>
      <c r="O53">
        <f t="shared" si="6"/>
        <v>606</v>
      </c>
      <c r="P53">
        <v>8136</v>
      </c>
      <c r="Q53">
        <f t="shared" si="2"/>
        <v>-135</v>
      </c>
      <c r="R53">
        <f t="shared" si="7"/>
        <v>69</v>
      </c>
      <c r="S53" t="str">
        <f t="shared" si="3"/>
        <v>y</v>
      </c>
      <c r="T53" t="s">
        <v>16</v>
      </c>
    </row>
    <row r="54" spans="1:20" x14ac:dyDescent="0.25">
      <c r="A54" s="1">
        <v>38848</v>
      </c>
      <c r="B54">
        <v>7307</v>
      </c>
      <c r="C54">
        <v>7376</v>
      </c>
      <c r="D54">
        <v>7272</v>
      </c>
      <c r="E54">
        <v>7372</v>
      </c>
      <c r="F54">
        <v>7405.4</v>
      </c>
      <c r="H54" s="1">
        <v>40473</v>
      </c>
      <c r="I54">
        <v>8142</v>
      </c>
      <c r="J54">
        <v>8305</v>
      </c>
      <c r="K54">
        <f t="shared" si="0"/>
        <v>163</v>
      </c>
      <c r="L54">
        <f t="shared" si="5"/>
        <v>1321</v>
      </c>
      <c r="M54">
        <v>8313</v>
      </c>
      <c r="N54">
        <f t="shared" si="1"/>
        <v>171</v>
      </c>
      <c r="O54">
        <f t="shared" si="6"/>
        <v>777</v>
      </c>
      <c r="P54">
        <v>8283</v>
      </c>
      <c r="Q54">
        <f t="shared" si="2"/>
        <v>141</v>
      </c>
      <c r="R54">
        <f t="shared" si="7"/>
        <v>210</v>
      </c>
      <c r="S54" t="str">
        <f t="shared" si="3"/>
        <v>y</v>
      </c>
      <c r="T54" t="s">
        <v>14</v>
      </c>
    </row>
    <row r="55" spans="1:20" x14ac:dyDescent="0.25">
      <c r="A55" s="1">
        <v>38849</v>
      </c>
      <c r="B55">
        <v>7276</v>
      </c>
      <c r="C55">
        <v>7314</v>
      </c>
      <c r="D55">
        <v>7252</v>
      </c>
      <c r="E55">
        <v>7260</v>
      </c>
      <c r="F55">
        <v>7373.4</v>
      </c>
      <c r="H55" s="1">
        <v>40483</v>
      </c>
      <c r="I55">
        <v>8395</v>
      </c>
      <c r="J55">
        <v>8368</v>
      </c>
      <c r="K55">
        <f t="shared" si="0"/>
        <v>-27</v>
      </c>
      <c r="L55">
        <f t="shared" si="5"/>
        <v>1294</v>
      </c>
      <c r="M55">
        <v>8325</v>
      </c>
      <c r="N55">
        <f t="shared" si="1"/>
        <v>-70</v>
      </c>
      <c r="O55">
        <f t="shared" si="6"/>
        <v>707</v>
      </c>
      <c r="P55">
        <v>8368</v>
      </c>
      <c r="Q55">
        <f t="shared" si="2"/>
        <v>-27</v>
      </c>
      <c r="R55">
        <f t="shared" si="7"/>
        <v>183</v>
      </c>
      <c r="S55" t="str">
        <f t="shared" si="3"/>
        <v>n</v>
      </c>
      <c r="T55" t="s">
        <v>15</v>
      </c>
    </row>
    <row r="56" spans="1:20" x14ac:dyDescent="0.25">
      <c r="A56" s="1">
        <v>38852</v>
      </c>
      <c r="B56">
        <v>7201</v>
      </c>
      <c r="C56">
        <v>7212</v>
      </c>
      <c r="D56">
        <v>7150</v>
      </c>
      <c r="E56">
        <v>7150</v>
      </c>
      <c r="F56">
        <v>7300.4</v>
      </c>
      <c r="H56" s="1">
        <v>40486</v>
      </c>
      <c r="I56">
        <v>8368</v>
      </c>
      <c r="J56">
        <v>8462</v>
      </c>
      <c r="K56">
        <f t="shared" si="0"/>
        <v>94</v>
      </c>
      <c r="L56">
        <f t="shared" si="5"/>
        <v>1388</v>
      </c>
      <c r="M56">
        <v>8453</v>
      </c>
      <c r="N56">
        <f t="shared" si="1"/>
        <v>85</v>
      </c>
      <c r="O56">
        <f t="shared" si="6"/>
        <v>792</v>
      </c>
      <c r="P56">
        <v>8468</v>
      </c>
      <c r="Q56">
        <f t="shared" si="2"/>
        <v>100</v>
      </c>
      <c r="R56">
        <f t="shared" si="7"/>
        <v>283</v>
      </c>
      <c r="S56" t="str">
        <f t="shared" si="3"/>
        <v>y</v>
      </c>
      <c r="T56" t="s">
        <v>14</v>
      </c>
    </row>
    <row r="57" spans="1:20" x14ac:dyDescent="0.25">
      <c r="A57" s="1">
        <v>38853</v>
      </c>
      <c r="B57">
        <v>7155</v>
      </c>
      <c r="C57">
        <v>7178</v>
      </c>
      <c r="D57">
        <v>7005</v>
      </c>
      <c r="E57">
        <v>7005</v>
      </c>
      <c r="F57">
        <v>7221.4</v>
      </c>
      <c r="H57" s="1">
        <v>40507</v>
      </c>
      <c r="I57">
        <v>8341</v>
      </c>
      <c r="J57">
        <v>8298</v>
      </c>
      <c r="K57">
        <f t="shared" si="0"/>
        <v>-43</v>
      </c>
      <c r="L57">
        <f t="shared" si="5"/>
        <v>1345</v>
      </c>
      <c r="M57">
        <v>8379</v>
      </c>
      <c r="N57">
        <f t="shared" si="1"/>
        <v>38</v>
      </c>
      <c r="O57">
        <f t="shared" si="6"/>
        <v>830</v>
      </c>
      <c r="P57">
        <v>8405</v>
      </c>
      <c r="Q57">
        <f t="shared" si="2"/>
        <v>64</v>
      </c>
      <c r="R57">
        <f t="shared" si="7"/>
        <v>347</v>
      </c>
      <c r="S57" t="str">
        <f t="shared" si="3"/>
        <v>n</v>
      </c>
      <c r="T57" t="s">
        <v>12</v>
      </c>
    </row>
    <row r="58" spans="1:20" x14ac:dyDescent="0.25">
      <c r="A58" s="1">
        <v>38854</v>
      </c>
      <c r="B58">
        <v>7030</v>
      </c>
      <c r="C58">
        <v>7153</v>
      </c>
      <c r="D58">
        <v>7027</v>
      </c>
      <c r="E58">
        <v>7117</v>
      </c>
      <c r="F58">
        <v>7180.8</v>
      </c>
      <c r="H58" s="1">
        <v>40511</v>
      </c>
      <c r="I58">
        <v>8379</v>
      </c>
      <c r="J58">
        <v>8405</v>
      </c>
      <c r="K58">
        <f t="shared" si="0"/>
        <v>26</v>
      </c>
      <c r="L58">
        <f t="shared" si="5"/>
        <v>1371</v>
      </c>
      <c r="M58">
        <v>8548</v>
      </c>
      <c r="N58">
        <f t="shared" si="1"/>
        <v>169</v>
      </c>
      <c r="O58">
        <f t="shared" si="6"/>
        <v>999</v>
      </c>
      <c r="P58">
        <v>8621</v>
      </c>
      <c r="Q58">
        <f t="shared" si="2"/>
        <v>242</v>
      </c>
      <c r="R58">
        <f t="shared" si="7"/>
        <v>589</v>
      </c>
      <c r="S58" t="str">
        <f t="shared" si="3"/>
        <v>y</v>
      </c>
      <c r="T58" t="s">
        <v>14</v>
      </c>
    </row>
    <row r="59" spans="1:20" x14ac:dyDescent="0.25">
      <c r="A59" s="1">
        <v>38855</v>
      </c>
      <c r="B59">
        <v>7000</v>
      </c>
      <c r="C59">
        <v>7007</v>
      </c>
      <c r="D59">
        <v>6947</v>
      </c>
      <c r="E59">
        <v>7000</v>
      </c>
      <c r="F59">
        <v>7106.4</v>
      </c>
      <c r="H59" s="1">
        <v>40561</v>
      </c>
      <c r="I59">
        <v>8975</v>
      </c>
      <c r="J59">
        <v>9083</v>
      </c>
      <c r="K59">
        <f t="shared" si="0"/>
        <v>108</v>
      </c>
      <c r="L59">
        <f t="shared" si="5"/>
        <v>1479</v>
      </c>
      <c r="M59">
        <v>9008</v>
      </c>
      <c r="N59">
        <f t="shared" si="1"/>
        <v>33</v>
      </c>
      <c r="O59">
        <f t="shared" si="6"/>
        <v>1032</v>
      </c>
      <c r="P59">
        <v>8905</v>
      </c>
      <c r="Q59">
        <f t="shared" si="2"/>
        <v>-70</v>
      </c>
      <c r="R59">
        <f t="shared" si="7"/>
        <v>519</v>
      </c>
      <c r="S59" t="str">
        <f t="shared" si="3"/>
        <v>y</v>
      </c>
      <c r="T59" t="s">
        <v>13</v>
      </c>
    </row>
    <row r="60" spans="1:20" x14ac:dyDescent="0.25">
      <c r="A60" s="1">
        <v>38856</v>
      </c>
      <c r="B60">
        <v>6980</v>
      </c>
      <c r="C60">
        <v>7065</v>
      </c>
      <c r="D60">
        <v>6971</v>
      </c>
      <c r="E60">
        <v>7046</v>
      </c>
      <c r="F60">
        <v>7063.6</v>
      </c>
      <c r="H60" s="1">
        <v>40592</v>
      </c>
      <c r="I60">
        <v>8812</v>
      </c>
      <c r="J60">
        <v>8811</v>
      </c>
      <c r="K60">
        <f t="shared" si="0"/>
        <v>-1</v>
      </c>
      <c r="L60">
        <f t="shared" si="5"/>
        <v>1478</v>
      </c>
      <c r="M60">
        <v>8619</v>
      </c>
      <c r="N60">
        <f t="shared" si="1"/>
        <v>-193</v>
      </c>
      <c r="O60">
        <f t="shared" si="6"/>
        <v>839</v>
      </c>
      <c r="P60">
        <v>8521</v>
      </c>
      <c r="Q60">
        <f t="shared" si="2"/>
        <v>-291</v>
      </c>
      <c r="R60">
        <f t="shared" si="7"/>
        <v>228</v>
      </c>
      <c r="S60" t="str">
        <f t="shared" si="3"/>
        <v>n</v>
      </c>
      <c r="T60" t="s">
        <v>15</v>
      </c>
    </row>
    <row r="61" spans="1:20" x14ac:dyDescent="0.25">
      <c r="A61" s="1">
        <v>38859</v>
      </c>
      <c r="B61">
        <v>7062</v>
      </c>
      <c r="C61">
        <v>7083</v>
      </c>
      <c r="D61">
        <v>6860</v>
      </c>
      <c r="E61">
        <v>6860</v>
      </c>
      <c r="F61">
        <v>7005.6</v>
      </c>
      <c r="H61" s="1">
        <v>40750</v>
      </c>
      <c r="I61">
        <v>8735</v>
      </c>
      <c r="J61">
        <v>8763</v>
      </c>
      <c r="K61">
        <f t="shared" si="0"/>
        <v>28</v>
      </c>
      <c r="L61">
        <f t="shared" si="5"/>
        <v>1506</v>
      </c>
      <c r="M61">
        <v>8728</v>
      </c>
      <c r="N61">
        <f t="shared" si="1"/>
        <v>-7</v>
      </c>
      <c r="O61">
        <f t="shared" si="6"/>
        <v>832</v>
      </c>
      <c r="P61">
        <v>8613</v>
      </c>
      <c r="Q61">
        <f t="shared" si="2"/>
        <v>-122</v>
      </c>
      <c r="R61">
        <f t="shared" si="7"/>
        <v>106</v>
      </c>
      <c r="S61" t="str">
        <f t="shared" si="3"/>
        <v>y</v>
      </c>
      <c r="T61" t="s">
        <v>16</v>
      </c>
    </row>
    <row r="62" spans="1:20" x14ac:dyDescent="0.25">
      <c r="A62" s="1">
        <v>38860</v>
      </c>
      <c r="B62">
        <v>6818</v>
      </c>
      <c r="C62">
        <v>6900</v>
      </c>
      <c r="D62">
        <v>6802</v>
      </c>
      <c r="E62">
        <v>6849</v>
      </c>
      <c r="F62">
        <v>6974.4</v>
      </c>
      <c r="H62" s="1">
        <v>40770</v>
      </c>
      <c r="I62">
        <v>7823</v>
      </c>
      <c r="J62">
        <v>7771</v>
      </c>
      <c r="K62">
        <f t="shared" si="0"/>
        <v>-52</v>
      </c>
      <c r="L62">
        <f t="shared" si="5"/>
        <v>1454</v>
      </c>
      <c r="M62">
        <v>7753</v>
      </c>
      <c r="N62">
        <f t="shared" si="1"/>
        <v>-70</v>
      </c>
      <c r="O62">
        <f t="shared" si="6"/>
        <v>762</v>
      </c>
      <c r="P62">
        <v>7499</v>
      </c>
      <c r="Q62">
        <f t="shared" si="2"/>
        <v>-324</v>
      </c>
      <c r="R62">
        <f t="shared" si="7"/>
        <v>-218</v>
      </c>
      <c r="S62" t="str">
        <f t="shared" si="3"/>
        <v>n</v>
      </c>
      <c r="T62" t="s">
        <v>15</v>
      </c>
    </row>
    <row r="63" spans="1:20" x14ac:dyDescent="0.25">
      <c r="A63" s="1">
        <v>38861</v>
      </c>
      <c r="B63">
        <v>6836</v>
      </c>
      <c r="C63">
        <v>6916</v>
      </c>
      <c r="D63">
        <v>6765</v>
      </c>
      <c r="E63">
        <v>6900</v>
      </c>
      <c r="F63">
        <v>6931</v>
      </c>
      <c r="H63" s="1">
        <v>40848</v>
      </c>
      <c r="I63">
        <v>7638</v>
      </c>
      <c r="J63">
        <v>7610</v>
      </c>
      <c r="K63">
        <f t="shared" si="0"/>
        <v>-28</v>
      </c>
      <c r="L63">
        <f t="shared" si="5"/>
        <v>1426</v>
      </c>
      <c r="M63">
        <v>7443</v>
      </c>
      <c r="N63">
        <f t="shared" si="1"/>
        <v>-195</v>
      </c>
      <c r="O63">
        <f t="shared" si="6"/>
        <v>567</v>
      </c>
      <c r="P63">
        <v>7628</v>
      </c>
      <c r="Q63">
        <f t="shared" si="2"/>
        <v>-10</v>
      </c>
      <c r="R63">
        <f t="shared" si="7"/>
        <v>-228</v>
      </c>
      <c r="S63" t="str">
        <f t="shared" si="3"/>
        <v>n</v>
      </c>
      <c r="T63" t="s">
        <v>15</v>
      </c>
    </row>
    <row r="64" spans="1:20" x14ac:dyDescent="0.25">
      <c r="A64" s="1">
        <v>38862</v>
      </c>
      <c r="B64">
        <v>6870</v>
      </c>
      <c r="C64">
        <v>6900</v>
      </c>
      <c r="D64">
        <v>6815</v>
      </c>
      <c r="E64">
        <v>6852</v>
      </c>
      <c r="F64">
        <v>6901.4</v>
      </c>
      <c r="H64" s="1">
        <v>40851</v>
      </c>
      <c r="I64">
        <v>7628</v>
      </c>
      <c r="J64">
        <v>7637</v>
      </c>
      <c r="K64">
        <f t="shared" si="0"/>
        <v>9</v>
      </c>
      <c r="L64">
        <f t="shared" si="5"/>
        <v>1435</v>
      </c>
      <c r="M64">
        <v>7590</v>
      </c>
      <c r="N64">
        <f t="shared" si="1"/>
        <v>-38</v>
      </c>
      <c r="O64">
        <f t="shared" si="6"/>
        <v>529</v>
      </c>
      <c r="P64">
        <v>7612</v>
      </c>
      <c r="Q64">
        <f t="shared" si="2"/>
        <v>-16</v>
      </c>
      <c r="R64">
        <f t="shared" si="7"/>
        <v>-244</v>
      </c>
      <c r="S64" t="str">
        <f t="shared" si="3"/>
        <v>y</v>
      </c>
      <c r="T64" t="s">
        <v>16</v>
      </c>
    </row>
    <row r="65" spans="1:20" x14ac:dyDescent="0.25">
      <c r="A65" s="1">
        <v>38863</v>
      </c>
      <c r="B65">
        <v>6920</v>
      </c>
      <c r="C65">
        <v>6960</v>
      </c>
      <c r="D65">
        <v>6841</v>
      </c>
      <c r="E65">
        <v>6872</v>
      </c>
      <c r="F65">
        <v>6866.6</v>
      </c>
      <c r="H65" s="1">
        <v>40918</v>
      </c>
      <c r="I65">
        <v>7174</v>
      </c>
      <c r="J65">
        <v>7179</v>
      </c>
      <c r="K65">
        <f t="shared" si="0"/>
        <v>5</v>
      </c>
      <c r="L65">
        <f t="shared" si="5"/>
        <v>1440</v>
      </c>
      <c r="M65">
        <v>7188</v>
      </c>
      <c r="N65">
        <f t="shared" si="1"/>
        <v>14</v>
      </c>
      <c r="O65">
        <f t="shared" si="6"/>
        <v>543</v>
      </c>
      <c r="P65">
        <v>7165</v>
      </c>
      <c r="Q65">
        <f t="shared" si="2"/>
        <v>-9</v>
      </c>
      <c r="R65">
        <f t="shared" si="7"/>
        <v>-253</v>
      </c>
      <c r="S65" t="str">
        <f t="shared" si="3"/>
        <v>y</v>
      </c>
      <c r="T65" t="s">
        <v>13</v>
      </c>
    </row>
    <row r="66" spans="1:20" x14ac:dyDescent="0.25">
      <c r="A66" s="1">
        <v>38866</v>
      </c>
      <c r="B66">
        <v>6900</v>
      </c>
      <c r="C66">
        <v>6924</v>
      </c>
      <c r="D66">
        <v>6856</v>
      </c>
      <c r="E66">
        <v>6897</v>
      </c>
      <c r="F66">
        <v>6874</v>
      </c>
      <c r="H66" s="1">
        <v>40925</v>
      </c>
      <c r="I66">
        <v>7226</v>
      </c>
      <c r="J66">
        <v>7206</v>
      </c>
      <c r="K66">
        <f t="shared" si="0"/>
        <v>-20</v>
      </c>
      <c r="L66">
        <f t="shared" si="5"/>
        <v>1420</v>
      </c>
      <c r="M66">
        <v>7393</v>
      </c>
      <c r="N66">
        <f t="shared" si="1"/>
        <v>167</v>
      </c>
      <c r="O66">
        <f t="shared" si="6"/>
        <v>710</v>
      </c>
      <c r="P66">
        <v>7470</v>
      </c>
      <c r="Q66">
        <f t="shared" si="2"/>
        <v>244</v>
      </c>
      <c r="R66">
        <f t="shared" si="7"/>
        <v>-9</v>
      </c>
      <c r="S66" t="str">
        <f t="shared" si="3"/>
        <v>n</v>
      </c>
      <c r="T66" t="s">
        <v>12</v>
      </c>
    </row>
    <row r="67" spans="1:20" x14ac:dyDescent="0.25">
      <c r="A67" s="1">
        <v>38867</v>
      </c>
      <c r="B67">
        <v>6895</v>
      </c>
      <c r="C67">
        <v>6916</v>
      </c>
      <c r="D67">
        <v>6805</v>
      </c>
      <c r="E67">
        <v>6848</v>
      </c>
      <c r="F67">
        <v>6873.8</v>
      </c>
      <c r="H67" s="1">
        <v>40954</v>
      </c>
      <c r="I67">
        <v>8006</v>
      </c>
      <c r="J67">
        <v>7906</v>
      </c>
      <c r="K67">
        <f t="shared" si="0"/>
        <v>-100</v>
      </c>
      <c r="L67">
        <f t="shared" si="5"/>
        <v>1320</v>
      </c>
      <c r="M67">
        <v>7930</v>
      </c>
      <c r="N67">
        <f t="shared" si="1"/>
        <v>-76</v>
      </c>
      <c r="O67">
        <f t="shared" si="6"/>
        <v>634</v>
      </c>
      <c r="P67">
        <v>7959</v>
      </c>
      <c r="Q67">
        <f t="shared" si="2"/>
        <v>-47</v>
      </c>
      <c r="R67">
        <f t="shared" si="7"/>
        <v>-56</v>
      </c>
      <c r="S67" t="str">
        <f t="shared" si="3"/>
        <v>n</v>
      </c>
      <c r="T67" t="s">
        <v>15</v>
      </c>
    </row>
    <row r="68" spans="1:20" x14ac:dyDescent="0.25">
      <c r="A68" s="1">
        <v>38869</v>
      </c>
      <c r="B68">
        <v>6830</v>
      </c>
      <c r="C68">
        <v>6895</v>
      </c>
      <c r="D68">
        <v>6828</v>
      </c>
      <c r="E68">
        <v>6853</v>
      </c>
      <c r="F68">
        <v>6864.4</v>
      </c>
      <c r="H68" s="1">
        <v>40956</v>
      </c>
      <c r="I68">
        <v>7930</v>
      </c>
      <c r="J68">
        <v>7959</v>
      </c>
      <c r="K68">
        <f t="shared" ref="K68:K95" si="8">J68-I68</f>
        <v>29</v>
      </c>
      <c r="L68">
        <f t="shared" si="5"/>
        <v>1349</v>
      </c>
      <c r="M68">
        <v>7949</v>
      </c>
      <c r="N68">
        <f t="shared" ref="N68:N95" si="9">M68-I68</f>
        <v>19</v>
      </c>
      <c r="O68">
        <f t="shared" si="6"/>
        <v>653</v>
      </c>
      <c r="P68">
        <v>8008</v>
      </c>
      <c r="Q68">
        <f t="shared" ref="Q68:Q95" si="10">P68-I68</f>
        <v>78</v>
      </c>
      <c r="R68">
        <f t="shared" si="7"/>
        <v>22</v>
      </c>
      <c r="S68" t="str">
        <f t="shared" ref="S68:S95" si="11">IF(LEFT(T68,1)="n","n","y")</f>
        <v>y</v>
      </c>
      <c r="T68" t="s">
        <v>14</v>
      </c>
    </row>
    <row r="69" spans="1:20" x14ac:dyDescent="0.25">
      <c r="A69" s="1">
        <v>38870</v>
      </c>
      <c r="B69">
        <v>6902</v>
      </c>
      <c r="C69">
        <v>6970</v>
      </c>
      <c r="D69">
        <v>6844</v>
      </c>
      <c r="E69">
        <v>6970</v>
      </c>
      <c r="F69">
        <v>6888</v>
      </c>
      <c r="H69" s="1">
        <v>40961</v>
      </c>
      <c r="I69">
        <v>8008</v>
      </c>
      <c r="J69">
        <v>7963</v>
      </c>
      <c r="K69">
        <f t="shared" si="8"/>
        <v>-45</v>
      </c>
      <c r="L69">
        <f t="shared" si="5"/>
        <v>1304</v>
      </c>
      <c r="M69">
        <v>7942</v>
      </c>
      <c r="N69">
        <f t="shared" si="9"/>
        <v>-66</v>
      </c>
      <c r="O69">
        <f t="shared" si="6"/>
        <v>587</v>
      </c>
      <c r="P69">
        <v>8113</v>
      </c>
      <c r="Q69">
        <f t="shared" si="10"/>
        <v>105</v>
      </c>
      <c r="R69">
        <f t="shared" si="7"/>
        <v>127</v>
      </c>
      <c r="S69" t="str">
        <f t="shared" si="11"/>
        <v>n</v>
      </c>
      <c r="T69" t="s">
        <v>11</v>
      </c>
    </row>
    <row r="70" spans="1:20" x14ac:dyDescent="0.25">
      <c r="A70" s="1">
        <v>38873</v>
      </c>
      <c r="B70">
        <v>6960</v>
      </c>
      <c r="C70">
        <v>6967</v>
      </c>
      <c r="D70">
        <v>6637</v>
      </c>
      <c r="E70">
        <v>6666</v>
      </c>
      <c r="F70">
        <v>6846.8</v>
      </c>
      <c r="H70" s="1">
        <v>40968</v>
      </c>
      <c r="I70">
        <v>8113</v>
      </c>
      <c r="J70">
        <v>8139</v>
      </c>
      <c r="K70">
        <f t="shared" si="8"/>
        <v>26</v>
      </c>
      <c r="L70">
        <f t="shared" ref="L70:L95" si="12">K70+L69</f>
        <v>1330</v>
      </c>
      <c r="M70">
        <v>8152</v>
      </c>
      <c r="N70">
        <f t="shared" si="9"/>
        <v>39</v>
      </c>
      <c r="O70">
        <f t="shared" ref="O70:O95" si="13">N70+O69</f>
        <v>626</v>
      </c>
      <c r="P70">
        <v>8120</v>
      </c>
      <c r="Q70">
        <f t="shared" si="10"/>
        <v>7</v>
      </c>
      <c r="R70">
        <f t="shared" ref="R70:R95" si="14">Q70+R69</f>
        <v>134</v>
      </c>
      <c r="S70" t="str">
        <f t="shared" si="11"/>
        <v>y</v>
      </c>
      <c r="T70" t="s">
        <v>14</v>
      </c>
    </row>
    <row r="71" spans="1:20" x14ac:dyDescent="0.25">
      <c r="A71" s="1">
        <v>38874</v>
      </c>
      <c r="B71">
        <v>6603</v>
      </c>
      <c r="C71">
        <v>6714</v>
      </c>
      <c r="D71">
        <v>6590</v>
      </c>
      <c r="E71">
        <v>6685</v>
      </c>
      <c r="F71">
        <v>6804.4</v>
      </c>
      <c r="H71" s="1">
        <v>40981</v>
      </c>
      <c r="I71">
        <v>8035</v>
      </c>
      <c r="J71">
        <v>8143</v>
      </c>
      <c r="K71">
        <f t="shared" si="8"/>
        <v>108</v>
      </c>
      <c r="L71">
        <f t="shared" si="12"/>
        <v>1438</v>
      </c>
      <c r="M71">
        <v>8138</v>
      </c>
      <c r="N71">
        <f t="shared" si="9"/>
        <v>103</v>
      </c>
      <c r="O71">
        <f t="shared" si="13"/>
        <v>729</v>
      </c>
      <c r="P71">
        <v>8067</v>
      </c>
      <c r="Q71">
        <f t="shared" si="10"/>
        <v>32</v>
      </c>
      <c r="R71">
        <f t="shared" si="14"/>
        <v>166</v>
      </c>
      <c r="S71" t="str">
        <f t="shared" si="11"/>
        <v>y</v>
      </c>
      <c r="T71" t="s">
        <v>14</v>
      </c>
    </row>
    <row r="72" spans="1:20" x14ac:dyDescent="0.25">
      <c r="A72" s="1">
        <v>38875</v>
      </c>
      <c r="B72">
        <v>6658</v>
      </c>
      <c r="C72">
        <v>6669</v>
      </c>
      <c r="D72">
        <v>6575</v>
      </c>
      <c r="E72">
        <v>6582</v>
      </c>
      <c r="F72">
        <v>6751.2</v>
      </c>
      <c r="H72" s="1">
        <v>41071</v>
      </c>
      <c r="I72">
        <v>7094</v>
      </c>
      <c r="J72">
        <v>7019</v>
      </c>
      <c r="K72">
        <f t="shared" si="8"/>
        <v>-75</v>
      </c>
      <c r="L72">
        <f t="shared" si="12"/>
        <v>1363</v>
      </c>
      <c r="M72">
        <v>7047</v>
      </c>
      <c r="N72">
        <f t="shared" si="9"/>
        <v>-47</v>
      </c>
      <c r="O72">
        <f t="shared" si="13"/>
        <v>682</v>
      </c>
      <c r="P72">
        <v>7065</v>
      </c>
      <c r="Q72">
        <f t="shared" si="10"/>
        <v>-29</v>
      </c>
      <c r="R72">
        <f t="shared" si="14"/>
        <v>137</v>
      </c>
      <c r="S72" t="str">
        <f t="shared" si="11"/>
        <v>n</v>
      </c>
      <c r="T72" t="s">
        <v>15</v>
      </c>
    </row>
    <row r="73" spans="1:20" x14ac:dyDescent="0.25">
      <c r="A73" s="1">
        <v>38876</v>
      </c>
      <c r="B73">
        <v>6531</v>
      </c>
      <c r="C73">
        <v>6545</v>
      </c>
      <c r="D73">
        <v>6211</v>
      </c>
      <c r="E73">
        <v>6212</v>
      </c>
      <c r="F73">
        <v>6623</v>
      </c>
      <c r="H73" s="1">
        <v>41073</v>
      </c>
      <c r="I73">
        <v>7047</v>
      </c>
      <c r="J73">
        <v>7065</v>
      </c>
      <c r="K73">
        <f t="shared" si="8"/>
        <v>18</v>
      </c>
      <c r="L73">
        <f t="shared" si="12"/>
        <v>1381</v>
      </c>
      <c r="M73">
        <v>7159</v>
      </c>
      <c r="N73">
        <f t="shared" si="9"/>
        <v>112</v>
      </c>
      <c r="O73">
        <f t="shared" si="13"/>
        <v>794</v>
      </c>
      <c r="P73">
        <v>7263</v>
      </c>
      <c r="Q73">
        <f t="shared" si="10"/>
        <v>216</v>
      </c>
      <c r="R73">
        <f t="shared" si="14"/>
        <v>353</v>
      </c>
      <c r="S73" t="str">
        <f t="shared" si="11"/>
        <v>y</v>
      </c>
      <c r="T73" t="s">
        <v>14</v>
      </c>
    </row>
    <row r="74" spans="1:20" x14ac:dyDescent="0.25">
      <c r="A74" s="1">
        <v>38877</v>
      </c>
      <c r="B74">
        <v>6252</v>
      </c>
      <c r="C74">
        <v>6415</v>
      </c>
      <c r="D74">
        <v>6218</v>
      </c>
      <c r="E74">
        <v>6385</v>
      </c>
      <c r="F74">
        <v>6506</v>
      </c>
      <c r="H74" s="1">
        <v>41173</v>
      </c>
      <c r="I74">
        <v>7762</v>
      </c>
      <c r="J74">
        <v>7778</v>
      </c>
      <c r="K74">
        <f t="shared" si="8"/>
        <v>16</v>
      </c>
      <c r="L74">
        <f t="shared" si="12"/>
        <v>1397</v>
      </c>
      <c r="M74">
        <v>7755</v>
      </c>
      <c r="N74">
        <f t="shared" si="9"/>
        <v>-7</v>
      </c>
      <c r="O74">
        <f t="shared" si="13"/>
        <v>787</v>
      </c>
      <c r="P74">
        <v>7701</v>
      </c>
      <c r="Q74">
        <f t="shared" si="10"/>
        <v>-61</v>
      </c>
      <c r="R74">
        <f t="shared" si="14"/>
        <v>292</v>
      </c>
      <c r="S74" t="str">
        <f t="shared" si="11"/>
        <v>y</v>
      </c>
      <c r="T74" t="s">
        <v>16</v>
      </c>
    </row>
    <row r="75" spans="1:20" x14ac:dyDescent="0.25">
      <c r="A75" s="1">
        <v>38880</v>
      </c>
      <c r="B75">
        <v>6325</v>
      </c>
      <c r="C75">
        <v>6409</v>
      </c>
      <c r="D75">
        <v>6261</v>
      </c>
      <c r="E75">
        <v>6382</v>
      </c>
      <c r="F75">
        <v>6449.2</v>
      </c>
      <c r="H75" s="1">
        <v>41222</v>
      </c>
      <c r="I75">
        <v>7285</v>
      </c>
      <c r="J75">
        <v>7244</v>
      </c>
      <c r="K75">
        <f t="shared" si="8"/>
        <v>-41</v>
      </c>
      <c r="L75">
        <f t="shared" si="12"/>
        <v>1356</v>
      </c>
      <c r="M75">
        <v>7093</v>
      </c>
      <c r="N75">
        <f t="shared" si="9"/>
        <v>-192</v>
      </c>
      <c r="O75">
        <f t="shared" si="13"/>
        <v>595</v>
      </c>
      <c r="P75">
        <v>7127</v>
      </c>
      <c r="Q75">
        <f t="shared" si="10"/>
        <v>-158</v>
      </c>
      <c r="R75">
        <f t="shared" si="14"/>
        <v>134</v>
      </c>
      <c r="S75" t="str">
        <f t="shared" si="11"/>
        <v>n</v>
      </c>
      <c r="T75" t="s">
        <v>15</v>
      </c>
    </row>
    <row r="76" spans="1:20" x14ac:dyDescent="0.25">
      <c r="A76" s="1">
        <v>38881</v>
      </c>
      <c r="B76">
        <v>6288</v>
      </c>
      <c r="C76">
        <v>6345</v>
      </c>
      <c r="D76">
        <v>6230</v>
      </c>
      <c r="E76">
        <v>6280</v>
      </c>
      <c r="F76">
        <v>6368.2</v>
      </c>
      <c r="H76" s="1">
        <v>41338</v>
      </c>
      <c r="I76">
        <v>7913</v>
      </c>
      <c r="J76">
        <v>7945</v>
      </c>
      <c r="K76">
        <f t="shared" si="8"/>
        <v>32</v>
      </c>
      <c r="L76">
        <f t="shared" si="12"/>
        <v>1388</v>
      </c>
      <c r="M76">
        <v>7938</v>
      </c>
      <c r="N76">
        <f t="shared" si="9"/>
        <v>25</v>
      </c>
      <c r="O76">
        <f t="shared" si="13"/>
        <v>620</v>
      </c>
      <c r="P76">
        <v>8010</v>
      </c>
      <c r="Q76">
        <f t="shared" si="10"/>
        <v>97</v>
      </c>
      <c r="R76">
        <f t="shared" si="14"/>
        <v>231</v>
      </c>
      <c r="S76" t="str">
        <f t="shared" si="11"/>
        <v>y</v>
      </c>
      <c r="T76" t="s">
        <v>14</v>
      </c>
    </row>
    <row r="77" spans="1:20" x14ac:dyDescent="0.25">
      <c r="A77" s="1">
        <v>38882</v>
      </c>
      <c r="B77">
        <v>6253</v>
      </c>
      <c r="C77">
        <v>6470</v>
      </c>
      <c r="D77">
        <v>6250</v>
      </c>
      <c r="E77">
        <v>6460</v>
      </c>
      <c r="F77">
        <v>6343.8</v>
      </c>
      <c r="H77" s="1">
        <v>41383</v>
      </c>
      <c r="I77">
        <v>7945</v>
      </c>
      <c r="J77">
        <v>7956</v>
      </c>
      <c r="K77">
        <f t="shared" si="8"/>
        <v>11</v>
      </c>
      <c r="L77">
        <f t="shared" si="12"/>
        <v>1399</v>
      </c>
      <c r="M77">
        <v>7928</v>
      </c>
      <c r="N77">
        <f t="shared" si="9"/>
        <v>-17</v>
      </c>
      <c r="O77">
        <f t="shared" si="13"/>
        <v>603</v>
      </c>
      <c r="P77">
        <v>7992</v>
      </c>
      <c r="Q77">
        <f t="shared" si="10"/>
        <v>47</v>
      </c>
      <c r="R77">
        <f t="shared" si="14"/>
        <v>278</v>
      </c>
      <c r="S77" t="str">
        <f t="shared" si="11"/>
        <v>y</v>
      </c>
      <c r="T77" t="s">
        <v>17</v>
      </c>
    </row>
    <row r="78" spans="1:20" x14ac:dyDescent="0.25">
      <c r="A78" s="1">
        <v>38883</v>
      </c>
      <c r="B78">
        <v>6502</v>
      </c>
      <c r="C78">
        <v>6509</v>
      </c>
      <c r="D78">
        <v>6355</v>
      </c>
      <c r="E78">
        <v>6400</v>
      </c>
      <c r="F78">
        <v>6381.4</v>
      </c>
      <c r="H78" s="1">
        <v>41464</v>
      </c>
      <c r="I78">
        <v>7922</v>
      </c>
      <c r="J78">
        <v>7960</v>
      </c>
      <c r="K78">
        <f t="shared" si="8"/>
        <v>38</v>
      </c>
      <c r="L78">
        <f t="shared" si="12"/>
        <v>1437</v>
      </c>
      <c r="M78">
        <v>8164</v>
      </c>
      <c r="N78">
        <f t="shared" si="9"/>
        <v>242</v>
      </c>
      <c r="O78">
        <f t="shared" si="13"/>
        <v>845</v>
      </c>
      <c r="P78">
        <v>8181</v>
      </c>
      <c r="Q78">
        <f t="shared" si="10"/>
        <v>259</v>
      </c>
      <c r="R78">
        <f t="shared" si="14"/>
        <v>537</v>
      </c>
      <c r="S78" t="str">
        <f t="shared" si="11"/>
        <v>y</v>
      </c>
      <c r="T78" t="s">
        <v>14</v>
      </c>
    </row>
    <row r="79" spans="1:20" x14ac:dyDescent="0.25">
      <c r="A79" s="1">
        <v>38884</v>
      </c>
      <c r="B79">
        <v>6550</v>
      </c>
      <c r="C79">
        <v>6630</v>
      </c>
      <c r="D79">
        <v>6522</v>
      </c>
      <c r="E79">
        <v>6566</v>
      </c>
      <c r="F79">
        <v>6417.6</v>
      </c>
      <c r="H79" s="1">
        <v>41485</v>
      </c>
      <c r="I79">
        <v>8129</v>
      </c>
      <c r="J79">
        <v>8050</v>
      </c>
      <c r="K79">
        <f t="shared" si="8"/>
        <v>-79</v>
      </c>
      <c r="L79">
        <f t="shared" si="12"/>
        <v>1358</v>
      </c>
      <c r="M79">
        <v>8046</v>
      </c>
      <c r="N79">
        <f t="shared" si="9"/>
        <v>-83</v>
      </c>
      <c r="O79">
        <f t="shared" si="13"/>
        <v>762</v>
      </c>
      <c r="P79">
        <v>8062</v>
      </c>
      <c r="Q79">
        <f t="shared" si="10"/>
        <v>-67</v>
      </c>
      <c r="R79">
        <f t="shared" si="14"/>
        <v>470</v>
      </c>
      <c r="S79" t="str">
        <f t="shared" si="11"/>
        <v>n</v>
      </c>
      <c r="T79" t="s">
        <v>15</v>
      </c>
    </row>
    <row r="80" spans="1:20" x14ac:dyDescent="0.25">
      <c r="A80" s="1">
        <v>38887</v>
      </c>
      <c r="B80">
        <v>6560</v>
      </c>
      <c r="C80">
        <v>6595</v>
      </c>
      <c r="D80">
        <v>6536</v>
      </c>
      <c r="E80">
        <v>6577</v>
      </c>
      <c r="F80">
        <v>6456.6</v>
      </c>
      <c r="H80" s="1">
        <v>41502</v>
      </c>
      <c r="I80">
        <v>7916</v>
      </c>
      <c r="J80">
        <v>7888</v>
      </c>
      <c r="K80">
        <f t="shared" si="8"/>
        <v>-28</v>
      </c>
      <c r="L80">
        <f t="shared" si="12"/>
        <v>1330</v>
      </c>
      <c r="M80">
        <v>7805</v>
      </c>
      <c r="N80">
        <f t="shared" si="9"/>
        <v>-111</v>
      </c>
      <c r="O80">
        <f t="shared" si="13"/>
        <v>651</v>
      </c>
      <c r="P80">
        <v>7813</v>
      </c>
      <c r="Q80">
        <f t="shared" si="10"/>
        <v>-103</v>
      </c>
      <c r="R80">
        <f t="shared" si="14"/>
        <v>367</v>
      </c>
      <c r="S80" t="str">
        <f t="shared" si="11"/>
        <v>n</v>
      </c>
      <c r="T80" t="s">
        <v>15</v>
      </c>
    </row>
    <row r="81" spans="1:20" x14ac:dyDescent="0.25">
      <c r="A81" s="1">
        <v>38888</v>
      </c>
      <c r="B81">
        <v>6540</v>
      </c>
      <c r="C81">
        <v>6560</v>
      </c>
      <c r="D81">
        <v>6152</v>
      </c>
      <c r="E81">
        <v>6365</v>
      </c>
      <c r="F81">
        <v>6473.6</v>
      </c>
      <c r="H81" s="1">
        <v>41558</v>
      </c>
      <c r="I81">
        <v>8359</v>
      </c>
      <c r="J81">
        <v>8295</v>
      </c>
      <c r="K81">
        <f t="shared" si="8"/>
        <v>-64</v>
      </c>
      <c r="L81">
        <f t="shared" si="12"/>
        <v>1266</v>
      </c>
      <c r="M81">
        <v>8357</v>
      </c>
      <c r="N81">
        <f t="shared" si="9"/>
        <v>-2</v>
      </c>
      <c r="O81">
        <f t="shared" si="13"/>
        <v>649</v>
      </c>
      <c r="P81">
        <v>8346</v>
      </c>
      <c r="Q81">
        <f t="shared" si="10"/>
        <v>-13</v>
      </c>
      <c r="R81">
        <f t="shared" si="14"/>
        <v>354</v>
      </c>
      <c r="S81" t="str">
        <f t="shared" si="11"/>
        <v>n</v>
      </c>
      <c r="T81" t="s">
        <v>15</v>
      </c>
    </row>
    <row r="82" spans="1:20" x14ac:dyDescent="0.25">
      <c r="A82" s="1">
        <v>38889</v>
      </c>
      <c r="B82">
        <v>6359</v>
      </c>
      <c r="C82">
        <v>6418</v>
      </c>
      <c r="D82">
        <v>6301</v>
      </c>
      <c r="E82">
        <v>6307</v>
      </c>
      <c r="F82">
        <v>6443</v>
      </c>
      <c r="H82" s="1">
        <v>41562</v>
      </c>
      <c r="I82">
        <v>8357</v>
      </c>
      <c r="J82">
        <v>8346</v>
      </c>
      <c r="K82">
        <f t="shared" si="8"/>
        <v>-11</v>
      </c>
      <c r="L82">
        <f t="shared" si="12"/>
        <v>1255</v>
      </c>
      <c r="M82">
        <v>8365</v>
      </c>
      <c r="N82">
        <f t="shared" si="9"/>
        <v>8</v>
      </c>
      <c r="O82">
        <f t="shared" si="13"/>
        <v>657</v>
      </c>
      <c r="P82">
        <v>8417</v>
      </c>
      <c r="Q82">
        <f t="shared" si="10"/>
        <v>60</v>
      </c>
      <c r="R82">
        <f t="shared" si="14"/>
        <v>414</v>
      </c>
      <c r="S82" t="str">
        <f t="shared" si="11"/>
        <v>n</v>
      </c>
      <c r="T82" t="s">
        <v>12</v>
      </c>
    </row>
    <row r="83" spans="1:20" x14ac:dyDescent="0.25">
      <c r="A83" s="1">
        <v>38890</v>
      </c>
      <c r="B83">
        <v>6336</v>
      </c>
      <c r="C83">
        <v>6450</v>
      </c>
      <c r="D83">
        <v>6325</v>
      </c>
      <c r="E83">
        <v>6435</v>
      </c>
      <c r="F83">
        <v>6450</v>
      </c>
      <c r="H83" s="1">
        <v>41654</v>
      </c>
      <c r="I83">
        <v>8611</v>
      </c>
      <c r="J83">
        <v>8616</v>
      </c>
      <c r="K83">
        <f t="shared" si="8"/>
        <v>5</v>
      </c>
      <c r="L83">
        <f t="shared" si="12"/>
        <v>1260</v>
      </c>
      <c r="M83">
        <v>8606</v>
      </c>
      <c r="N83">
        <f t="shared" si="9"/>
        <v>-5</v>
      </c>
      <c r="O83">
        <f t="shared" si="13"/>
        <v>652</v>
      </c>
      <c r="P83">
        <v>8622</v>
      </c>
      <c r="Q83">
        <f t="shared" si="10"/>
        <v>11</v>
      </c>
      <c r="R83">
        <f t="shared" si="14"/>
        <v>425</v>
      </c>
      <c r="S83" t="str">
        <f t="shared" si="11"/>
        <v>y</v>
      </c>
      <c r="T83" t="s">
        <v>17</v>
      </c>
    </row>
    <row r="84" spans="1:20" x14ac:dyDescent="0.25">
      <c r="A84" s="1">
        <v>38891</v>
      </c>
      <c r="B84">
        <v>6392</v>
      </c>
      <c r="C84">
        <v>6405</v>
      </c>
      <c r="D84">
        <v>6270</v>
      </c>
      <c r="E84">
        <v>6375</v>
      </c>
      <c r="F84">
        <v>6411.8</v>
      </c>
      <c r="H84" s="1">
        <v>41691</v>
      </c>
      <c r="I84">
        <v>8588</v>
      </c>
      <c r="J84">
        <v>8550</v>
      </c>
      <c r="K84">
        <f t="shared" si="8"/>
        <v>-38</v>
      </c>
      <c r="L84">
        <f t="shared" si="12"/>
        <v>1222</v>
      </c>
      <c r="M84">
        <v>8572</v>
      </c>
      <c r="N84">
        <f t="shared" si="9"/>
        <v>-16</v>
      </c>
      <c r="O84">
        <f t="shared" si="13"/>
        <v>636</v>
      </c>
      <c r="P84">
        <v>8608</v>
      </c>
      <c r="Q84">
        <f t="shared" si="10"/>
        <v>20</v>
      </c>
      <c r="R84">
        <f t="shared" si="14"/>
        <v>445</v>
      </c>
      <c r="S84" t="str">
        <f t="shared" si="11"/>
        <v>n</v>
      </c>
      <c r="T84" t="s">
        <v>11</v>
      </c>
    </row>
    <row r="85" spans="1:20" x14ac:dyDescent="0.25">
      <c r="A85" s="1">
        <v>38894</v>
      </c>
      <c r="B85">
        <v>6375</v>
      </c>
      <c r="C85">
        <v>6513</v>
      </c>
      <c r="D85">
        <v>6372</v>
      </c>
      <c r="E85">
        <v>6482</v>
      </c>
      <c r="F85">
        <v>6392.8</v>
      </c>
      <c r="H85" s="1">
        <v>41711</v>
      </c>
      <c r="I85">
        <v>8743</v>
      </c>
      <c r="J85">
        <v>8694</v>
      </c>
      <c r="K85">
        <f t="shared" si="8"/>
        <v>-49</v>
      </c>
      <c r="L85">
        <f t="shared" si="12"/>
        <v>1173</v>
      </c>
      <c r="M85">
        <v>8700</v>
      </c>
      <c r="N85">
        <f t="shared" si="9"/>
        <v>-43</v>
      </c>
      <c r="O85">
        <f t="shared" si="13"/>
        <v>593</v>
      </c>
      <c r="P85">
        <v>8728</v>
      </c>
      <c r="Q85">
        <f t="shared" si="10"/>
        <v>-15</v>
      </c>
      <c r="R85">
        <f t="shared" si="14"/>
        <v>430</v>
      </c>
      <c r="S85" t="str">
        <f t="shared" si="11"/>
        <v>n</v>
      </c>
      <c r="T85" t="s">
        <v>15</v>
      </c>
    </row>
    <row r="86" spans="1:20" x14ac:dyDescent="0.25">
      <c r="A86" s="1">
        <v>38895</v>
      </c>
      <c r="B86">
        <v>6461</v>
      </c>
      <c r="C86">
        <v>6575</v>
      </c>
      <c r="D86">
        <v>6443</v>
      </c>
      <c r="E86">
        <v>6515</v>
      </c>
      <c r="F86">
        <v>6422.8</v>
      </c>
      <c r="H86" s="1">
        <v>41747</v>
      </c>
      <c r="I86">
        <v>8918</v>
      </c>
      <c r="J86">
        <v>8923</v>
      </c>
      <c r="K86">
        <f t="shared" si="8"/>
        <v>5</v>
      </c>
      <c r="L86">
        <f t="shared" si="12"/>
        <v>1178</v>
      </c>
      <c r="M86">
        <v>8951</v>
      </c>
      <c r="N86">
        <f t="shared" si="9"/>
        <v>33</v>
      </c>
      <c r="O86">
        <f t="shared" si="13"/>
        <v>626</v>
      </c>
      <c r="P86">
        <v>8922</v>
      </c>
      <c r="Q86">
        <f t="shared" si="10"/>
        <v>4</v>
      </c>
      <c r="R86">
        <f t="shared" si="14"/>
        <v>434</v>
      </c>
      <c r="S86" t="str">
        <f t="shared" si="11"/>
        <v>y</v>
      </c>
      <c r="T86" t="s">
        <v>14</v>
      </c>
    </row>
    <row r="87" spans="1:20" x14ac:dyDescent="0.25">
      <c r="A87" s="1">
        <v>38896</v>
      </c>
      <c r="B87">
        <v>6435</v>
      </c>
      <c r="C87">
        <v>6467</v>
      </c>
      <c r="D87">
        <v>6396</v>
      </c>
      <c r="E87">
        <v>6455</v>
      </c>
      <c r="F87">
        <v>6452.4</v>
      </c>
      <c r="H87" s="1">
        <v>41781</v>
      </c>
      <c r="I87">
        <v>8958</v>
      </c>
      <c r="J87">
        <v>9014</v>
      </c>
      <c r="K87">
        <f t="shared" si="8"/>
        <v>56</v>
      </c>
      <c r="L87">
        <f t="shared" si="12"/>
        <v>1234</v>
      </c>
      <c r="M87">
        <v>9041</v>
      </c>
      <c r="N87">
        <f t="shared" si="9"/>
        <v>83</v>
      </c>
      <c r="O87">
        <f t="shared" si="13"/>
        <v>709</v>
      </c>
      <c r="P87">
        <v>9057</v>
      </c>
      <c r="Q87">
        <f t="shared" si="10"/>
        <v>99</v>
      </c>
      <c r="R87">
        <f t="shared" si="14"/>
        <v>533</v>
      </c>
      <c r="S87" t="str">
        <f t="shared" si="11"/>
        <v>y</v>
      </c>
      <c r="T87" t="s">
        <v>14</v>
      </c>
    </row>
    <row r="88" spans="1:20" x14ac:dyDescent="0.25">
      <c r="A88" s="1">
        <v>38897</v>
      </c>
      <c r="B88">
        <v>6496</v>
      </c>
      <c r="C88">
        <v>6552</v>
      </c>
      <c r="D88">
        <v>6490</v>
      </c>
      <c r="E88">
        <v>6535</v>
      </c>
      <c r="F88">
        <v>6472.4</v>
      </c>
      <c r="H88" s="1">
        <v>41795</v>
      </c>
      <c r="I88">
        <v>9118</v>
      </c>
      <c r="J88">
        <v>9126</v>
      </c>
      <c r="K88">
        <f t="shared" si="8"/>
        <v>8</v>
      </c>
      <c r="L88">
        <f t="shared" si="12"/>
        <v>1242</v>
      </c>
      <c r="M88">
        <v>9146</v>
      </c>
      <c r="N88">
        <f t="shared" si="9"/>
        <v>28</v>
      </c>
      <c r="O88">
        <f t="shared" si="13"/>
        <v>737</v>
      </c>
      <c r="P88">
        <v>9185</v>
      </c>
      <c r="Q88">
        <f t="shared" si="10"/>
        <v>67</v>
      </c>
      <c r="R88">
        <f t="shared" si="14"/>
        <v>600</v>
      </c>
      <c r="S88" t="str">
        <f t="shared" si="11"/>
        <v>y</v>
      </c>
      <c r="T88" t="s">
        <v>14</v>
      </c>
    </row>
    <row r="89" spans="1:20" x14ac:dyDescent="0.25">
      <c r="A89" s="1">
        <v>38898</v>
      </c>
      <c r="B89">
        <v>6690</v>
      </c>
      <c r="C89">
        <v>6690</v>
      </c>
      <c r="D89">
        <v>6625</v>
      </c>
      <c r="E89">
        <v>6644</v>
      </c>
      <c r="F89">
        <v>6526.2</v>
      </c>
      <c r="H89" s="1">
        <v>41870</v>
      </c>
      <c r="I89">
        <v>9239</v>
      </c>
      <c r="J89">
        <v>9275</v>
      </c>
      <c r="K89">
        <f t="shared" si="8"/>
        <v>36</v>
      </c>
      <c r="L89">
        <f t="shared" si="12"/>
        <v>1278</v>
      </c>
      <c r="M89">
        <v>9230</v>
      </c>
      <c r="N89">
        <f t="shared" si="9"/>
        <v>-9</v>
      </c>
      <c r="O89">
        <f t="shared" si="13"/>
        <v>728</v>
      </c>
      <c r="P89">
        <v>9380</v>
      </c>
      <c r="Q89">
        <f t="shared" si="10"/>
        <v>141</v>
      </c>
      <c r="R89">
        <f t="shared" si="14"/>
        <v>741</v>
      </c>
      <c r="S89" t="str">
        <f t="shared" si="11"/>
        <v>y</v>
      </c>
      <c r="T89" t="s">
        <v>17</v>
      </c>
    </row>
    <row r="90" spans="1:20" x14ac:dyDescent="0.25">
      <c r="A90" s="1">
        <v>38901</v>
      </c>
      <c r="B90">
        <v>6655</v>
      </c>
      <c r="C90">
        <v>6675</v>
      </c>
      <c r="D90">
        <v>6636</v>
      </c>
      <c r="E90">
        <v>6670</v>
      </c>
      <c r="F90">
        <v>6563.8</v>
      </c>
      <c r="H90" s="1">
        <v>42110</v>
      </c>
      <c r="I90">
        <v>9646</v>
      </c>
      <c r="J90">
        <v>9582</v>
      </c>
      <c r="K90">
        <f t="shared" si="8"/>
        <v>-64</v>
      </c>
      <c r="L90">
        <f t="shared" si="12"/>
        <v>1214</v>
      </c>
      <c r="M90">
        <v>9565</v>
      </c>
      <c r="N90">
        <f t="shared" si="9"/>
        <v>-81</v>
      </c>
      <c r="O90">
        <f t="shared" si="13"/>
        <v>647</v>
      </c>
      <c r="P90">
        <v>9556</v>
      </c>
      <c r="Q90">
        <f t="shared" si="10"/>
        <v>-90</v>
      </c>
      <c r="R90">
        <f t="shared" si="14"/>
        <v>651</v>
      </c>
      <c r="S90" t="str">
        <f t="shared" si="11"/>
        <v>n</v>
      </c>
      <c r="T90" t="s">
        <v>15</v>
      </c>
    </row>
    <row r="91" spans="1:20" x14ac:dyDescent="0.25">
      <c r="A91" s="1">
        <v>38902</v>
      </c>
      <c r="B91">
        <v>6694</v>
      </c>
      <c r="C91">
        <v>6730</v>
      </c>
      <c r="D91">
        <v>6640</v>
      </c>
      <c r="E91">
        <v>6665</v>
      </c>
      <c r="F91">
        <v>6593.8</v>
      </c>
      <c r="H91" s="1">
        <v>42254</v>
      </c>
      <c r="I91">
        <v>7930</v>
      </c>
      <c r="J91">
        <v>7973</v>
      </c>
      <c r="K91">
        <f t="shared" si="8"/>
        <v>43</v>
      </c>
      <c r="L91">
        <f t="shared" si="12"/>
        <v>1257</v>
      </c>
      <c r="M91">
        <v>8335</v>
      </c>
      <c r="N91">
        <f t="shared" si="9"/>
        <v>405</v>
      </c>
      <c r="O91">
        <f t="shared" si="13"/>
        <v>1052</v>
      </c>
      <c r="P91">
        <v>8269</v>
      </c>
      <c r="Q91">
        <f t="shared" si="10"/>
        <v>339</v>
      </c>
      <c r="R91">
        <f t="shared" si="14"/>
        <v>990</v>
      </c>
      <c r="S91" t="str">
        <f t="shared" si="11"/>
        <v>y</v>
      </c>
      <c r="T91" t="s">
        <v>14</v>
      </c>
    </row>
    <row r="92" spans="1:20" x14ac:dyDescent="0.25">
      <c r="A92" s="1">
        <v>38903</v>
      </c>
      <c r="B92">
        <v>6640</v>
      </c>
      <c r="C92">
        <v>6669</v>
      </c>
      <c r="D92">
        <v>6570</v>
      </c>
      <c r="E92">
        <v>6571</v>
      </c>
      <c r="F92">
        <v>6617</v>
      </c>
      <c r="H92" s="1">
        <v>42263</v>
      </c>
      <c r="I92">
        <v>8319</v>
      </c>
      <c r="J92">
        <v>8444</v>
      </c>
      <c r="K92">
        <f t="shared" si="8"/>
        <v>125</v>
      </c>
      <c r="L92">
        <f t="shared" si="12"/>
        <v>1382</v>
      </c>
      <c r="M92">
        <v>8440</v>
      </c>
      <c r="N92">
        <f t="shared" si="9"/>
        <v>121</v>
      </c>
      <c r="O92">
        <f t="shared" si="13"/>
        <v>1173</v>
      </c>
      <c r="P92">
        <v>8268</v>
      </c>
      <c r="Q92">
        <f t="shared" si="10"/>
        <v>-51</v>
      </c>
      <c r="R92">
        <f t="shared" si="14"/>
        <v>939</v>
      </c>
      <c r="S92" t="str">
        <f t="shared" si="11"/>
        <v>y</v>
      </c>
      <c r="T92" t="s">
        <v>13</v>
      </c>
    </row>
    <row r="93" spans="1:20" x14ac:dyDescent="0.25">
      <c r="A93" s="1">
        <v>38904</v>
      </c>
      <c r="B93">
        <v>6538</v>
      </c>
      <c r="C93">
        <v>6587</v>
      </c>
      <c r="D93">
        <v>6521</v>
      </c>
      <c r="E93">
        <v>6584</v>
      </c>
      <c r="F93">
        <v>6626.8</v>
      </c>
      <c r="H93" s="1">
        <v>42327</v>
      </c>
      <c r="I93">
        <v>8450</v>
      </c>
      <c r="J93">
        <v>8445</v>
      </c>
      <c r="K93">
        <f t="shared" si="8"/>
        <v>-5</v>
      </c>
      <c r="L93">
        <f t="shared" si="12"/>
        <v>1377</v>
      </c>
      <c r="M93">
        <v>8480</v>
      </c>
      <c r="N93">
        <f t="shared" si="9"/>
        <v>30</v>
      </c>
      <c r="O93">
        <f t="shared" si="13"/>
        <v>1203</v>
      </c>
      <c r="P93">
        <v>8403</v>
      </c>
      <c r="Q93">
        <f t="shared" si="10"/>
        <v>-47</v>
      </c>
      <c r="R93">
        <f t="shared" si="14"/>
        <v>892</v>
      </c>
      <c r="S93" t="str">
        <f t="shared" si="11"/>
        <v>n</v>
      </c>
      <c r="T93" t="s">
        <v>10</v>
      </c>
    </row>
    <row r="94" spans="1:20" x14ac:dyDescent="0.25">
      <c r="A94" s="1">
        <v>38905</v>
      </c>
      <c r="B94">
        <v>6590</v>
      </c>
      <c r="C94">
        <v>6590</v>
      </c>
      <c r="D94">
        <v>6545</v>
      </c>
      <c r="E94">
        <v>6565</v>
      </c>
      <c r="F94">
        <v>6611</v>
      </c>
      <c r="H94" s="1">
        <v>42345</v>
      </c>
      <c r="I94">
        <v>8468</v>
      </c>
      <c r="J94">
        <v>8331</v>
      </c>
      <c r="K94">
        <f t="shared" si="8"/>
        <v>-137</v>
      </c>
      <c r="L94">
        <f t="shared" si="12"/>
        <v>1240</v>
      </c>
      <c r="M94">
        <v>8221</v>
      </c>
      <c r="N94">
        <f t="shared" si="9"/>
        <v>-247</v>
      </c>
      <c r="O94">
        <f t="shared" si="13"/>
        <v>956</v>
      </c>
      <c r="P94">
        <v>8189</v>
      </c>
      <c r="Q94">
        <f t="shared" si="10"/>
        <v>-279</v>
      </c>
      <c r="R94">
        <f t="shared" si="14"/>
        <v>613</v>
      </c>
      <c r="S94" t="str">
        <f t="shared" si="11"/>
        <v>n</v>
      </c>
      <c r="T94" t="s">
        <v>15</v>
      </c>
    </row>
    <row r="95" spans="1:20" x14ac:dyDescent="0.25">
      <c r="A95" s="1">
        <v>38908</v>
      </c>
      <c r="B95">
        <v>6505</v>
      </c>
      <c r="C95">
        <v>6658</v>
      </c>
      <c r="D95">
        <v>6489</v>
      </c>
      <c r="E95">
        <v>6658</v>
      </c>
      <c r="F95">
        <v>6608.6</v>
      </c>
      <c r="H95" s="1">
        <v>42425</v>
      </c>
      <c r="I95">
        <v>8339</v>
      </c>
      <c r="J95">
        <v>8391</v>
      </c>
      <c r="K95">
        <f t="shared" si="8"/>
        <v>52</v>
      </c>
      <c r="L95">
        <f t="shared" si="12"/>
        <v>1292</v>
      </c>
      <c r="M95">
        <v>8450</v>
      </c>
      <c r="N95">
        <f t="shared" si="9"/>
        <v>111</v>
      </c>
      <c r="O95">
        <f t="shared" si="13"/>
        <v>1067</v>
      </c>
      <c r="P95">
        <v>8520</v>
      </c>
      <c r="Q95">
        <f t="shared" si="10"/>
        <v>181</v>
      </c>
      <c r="R95">
        <f t="shared" si="14"/>
        <v>794</v>
      </c>
      <c r="S95" t="str">
        <f t="shared" si="11"/>
        <v>y</v>
      </c>
      <c r="T95" t="s">
        <v>14</v>
      </c>
    </row>
    <row r="96" spans="1:20" x14ac:dyDescent="0.25">
      <c r="A96" s="1">
        <v>38909</v>
      </c>
      <c r="B96">
        <v>6628</v>
      </c>
      <c r="C96">
        <v>6649</v>
      </c>
      <c r="D96">
        <v>6593</v>
      </c>
      <c r="E96">
        <v>6603</v>
      </c>
      <c r="F96">
        <v>6596.2</v>
      </c>
    </row>
    <row r="97" spans="1:6" x14ac:dyDescent="0.25">
      <c r="A97" s="1">
        <v>38910</v>
      </c>
      <c r="B97">
        <v>6616</v>
      </c>
      <c r="C97">
        <v>6688</v>
      </c>
      <c r="D97">
        <v>6530</v>
      </c>
      <c r="E97">
        <v>6578</v>
      </c>
      <c r="F97">
        <v>6597.6</v>
      </c>
    </row>
    <row r="98" spans="1:6" x14ac:dyDescent="0.25">
      <c r="A98" s="1">
        <v>38911</v>
      </c>
      <c r="B98">
        <v>6530</v>
      </c>
      <c r="C98">
        <v>6575</v>
      </c>
      <c r="D98">
        <v>6505</v>
      </c>
      <c r="E98">
        <v>6518</v>
      </c>
      <c r="F98">
        <v>6584.4</v>
      </c>
    </row>
    <row r="99" spans="1:6" x14ac:dyDescent="0.25">
      <c r="A99" s="1">
        <v>38912</v>
      </c>
      <c r="B99">
        <v>6425</v>
      </c>
      <c r="C99">
        <v>6428</v>
      </c>
      <c r="D99">
        <v>6332</v>
      </c>
      <c r="E99">
        <v>6362</v>
      </c>
      <c r="F99">
        <v>6543.8</v>
      </c>
    </row>
    <row r="100" spans="1:6" x14ac:dyDescent="0.25">
      <c r="A100" s="1">
        <v>38915</v>
      </c>
      <c r="B100">
        <v>6318</v>
      </c>
      <c r="C100">
        <v>6362</v>
      </c>
      <c r="D100">
        <v>6148</v>
      </c>
      <c r="E100">
        <v>6206</v>
      </c>
      <c r="F100">
        <v>6453.4</v>
      </c>
    </row>
    <row r="101" spans="1:6" x14ac:dyDescent="0.25">
      <c r="A101" s="1">
        <v>38916</v>
      </c>
      <c r="B101">
        <v>6191</v>
      </c>
      <c r="C101">
        <v>6275</v>
      </c>
      <c r="D101">
        <v>6191</v>
      </c>
      <c r="E101">
        <v>6270</v>
      </c>
      <c r="F101">
        <v>6386.8</v>
      </c>
    </row>
    <row r="102" spans="1:6" x14ac:dyDescent="0.25">
      <c r="A102" s="1">
        <v>38917</v>
      </c>
      <c r="B102">
        <v>6280</v>
      </c>
      <c r="C102">
        <v>6339</v>
      </c>
      <c r="D102">
        <v>6255</v>
      </c>
      <c r="E102">
        <v>6255</v>
      </c>
      <c r="F102">
        <v>6322.2</v>
      </c>
    </row>
    <row r="103" spans="1:6" x14ac:dyDescent="0.25">
      <c r="A103" s="1">
        <v>38918</v>
      </c>
      <c r="B103">
        <v>6254</v>
      </c>
      <c r="C103">
        <v>6345</v>
      </c>
      <c r="D103">
        <v>6240</v>
      </c>
      <c r="E103">
        <v>6345</v>
      </c>
      <c r="F103">
        <v>6287.6</v>
      </c>
    </row>
    <row r="104" spans="1:6" x14ac:dyDescent="0.25">
      <c r="A104" s="1">
        <v>38919</v>
      </c>
      <c r="B104">
        <v>6279</v>
      </c>
      <c r="C104">
        <v>6300</v>
      </c>
      <c r="D104">
        <v>6235</v>
      </c>
      <c r="E104">
        <v>6292</v>
      </c>
      <c r="F104">
        <v>6273.6</v>
      </c>
    </row>
    <row r="105" spans="1:6" x14ac:dyDescent="0.25">
      <c r="A105" s="1">
        <v>38922</v>
      </c>
      <c r="B105">
        <v>6201</v>
      </c>
      <c r="C105">
        <v>6248</v>
      </c>
      <c r="D105">
        <v>6165</v>
      </c>
      <c r="E105">
        <v>6239</v>
      </c>
      <c r="F105">
        <v>6280.2</v>
      </c>
    </row>
    <row r="106" spans="1:6" x14ac:dyDescent="0.25">
      <c r="A106" s="1">
        <v>38923</v>
      </c>
      <c r="B106">
        <v>6353</v>
      </c>
      <c r="C106">
        <v>6365</v>
      </c>
      <c r="D106">
        <v>6295</v>
      </c>
      <c r="E106">
        <v>6310</v>
      </c>
      <c r="F106">
        <v>6288.2</v>
      </c>
    </row>
    <row r="107" spans="1:6" x14ac:dyDescent="0.25">
      <c r="A107" s="1">
        <v>38924</v>
      </c>
      <c r="B107">
        <v>6327</v>
      </c>
      <c r="C107">
        <v>6348</v>
      </c>
      <c r="D107">
        <v>6267</v>
      </c>
      <c r="E107">
        <v>6298</v>
      </c>
      <c r="F107">
        <v>6296.8</v>
      </c>
    </row>
    <row r="108" spans="1:6" x14ac:dyDescent="0.25">
      <c r="A108" s="1">
        <v>38925</v>
      </c>
      <c r="B108">
        <v>6287</v>
      </c>
      <c r="C108">
        <v>6409</v>
      </c>
      <c r="D108">
        <v>6282</v>
      </c>
      <c r="E108">
        <v>6405</v>
      </c>
      <c r="F108">
        <v>6308.8</v>
      </c>
    </row>
    <row r="109" spans="1:6" x14ac:dyDescent="0.25">
      <c r="A109" s="1">
        <v>38926</v>
      </c>
      <c r="B109">
        <v>6396</v>
      </c>
      <c r="C109">
        <v>6426</v>
      </c>
      <c r="D109">
        <v>6348</v>
      </c>
      <c r="E109">
        <v>6390</v>
      </c>
      <c r="F109">
        <v>6328.4</v>
      </c>
    </row>
    <row r="110" spans="1:6" x14ac:dyDescent="0.25">
      <c r="A110" s="1">
        <v>38929</v>
      </c>
      <c r="B110">
        <v>6460</v>
      </c>
      <c r="C110">
        <v>6466</v>
      </c>
      <c r="D110">
        <v>6325</v>
      </c>
      <c r="E110">
        <v>6348</v>
      </c>
      <c r="F110">
        <v>6350.2</v>
      </c>
    </row>
    <row r="111" spans="1:6" x14ac:dyDescent="0.25">
      <c r="A111" s="1">
        <v>38930</v>
      </c>
      <c r="B111">
        <v>6369</v>
      </c>
      <c r="C111">
        <v>6414</v>
      </c>
      <c r="D111">
        <v>6350</v>
      </c>
      <c r="E111">
        <v>6378</v>
      </c>
      <c r="F111">
        <v>6363.8</v>
      </c>
    </row>
    <row r="112" spans="1:6" x14ac:dyDescent="0.25">
      <c r="A112" s="1">
        <v>38931</v>
      </c>
      <c r="B112">
        <v>6340</v>
      </c>
      <c r="C112">
        <v>6453</v>
      </c>
      <c r="D112">
        <v>6340</v>
      </c>
      <c r="E112">
        <v>6443</v>
      </c>
      <c r="F112">
        <v>6392.8</v>
      </c>
    </row>
    <row r="113" spans="1:6" x14ac:dyDescent="0.25">
      <c r="A113" s="1">
        <v>38932</v>
      </c>
      <c r="B113">
        <v>6461</v>
      </c>
      <c r="C113">
        <v>6468</v>
      </c>
      <c r="D113">
        <v>6396</v>
      </c>
      <c r="E113">
        <v>6410</v>
      </c>
      <c r="F113">
        <v>6393.8</v>
      </c>
    </row>
    <row r="114" spans="1:6" x14ac:dyDescent="0.25">
      <c r="A114" s="1">
        <v>38933</v>
      </c>
      <c r="B114">
        <v>6435</v>
      </c>
      <c r="C114">
        <v>6445</v>
      </c>
      <c r="D114">
        <v>6347</v>
      </c>
      <c r="E114">
        <v>6364</v>
      </c>
      <c r="F114">
        <v>6388.6</v>
      </c>
    </row>
    <row r="115" spans="1:6" x14ac:dyDescent="0.25">
      <c r="A115" s="1">
        <v>38936</v>
      </c>
      <c r="B115">
        <v>6351</v>
      </c>
      <c r="C115">
        <v>6402</v>
      </c>
      <c r="D115">
        <v>6337</v>
      </c>
      <c r="E115">
        <v>6351</v>
      </c>
      <c r="F115">
        <v>6389.2</v>
      </c>
    </row>
    <row r="116" spans="1:6" x14ac:dyDescent="0.25">
      <c r="A116" s="1">
        <v>38937</v>
      </c>
      <c r="B116">
        <v>6365</v>
      </c>
      <c r="C116">
        <v>6505</v>
      </c>
      <c r="D116">
        <v>6365</v>
      </c>
      <c r="E116">
        <v>6505</v>
      </c>
      <c r="F116">
        <v>6414.6</v>
      </c>
    </row>
    <row r="117" spans="1:6" x14ac:dyDescent="0.25">
      <c r="A117" s="1">
        <v>38938</v>
      </c>
      <c r="B117">
        <v>6480</v>
      </c>
      <c r="C117">
        <v>6570</v>
      </c>
      <c r="D117">
        <v>6448</v>
      </c>
      <c r="E117">
        <v>6569</v>
      </c>
      <c r="F117">
        <v>6439.8</v>
      </c>
    </row>
    <row r="118" spans="1:6" x14ac:dyDescent="0.25">
      <c r="A118" s="1">
        <v>38939</v>
      </c>
      <c r="B118">
        <v>6540</v>
      </c>
      <c r="C118">
        <v>6597</v>
      </c>
      <c r="D118">
        <v>6516</v>
      </c>
      <c r="E118">
        <v>6555</v>
      </c>
      <c r="F118">
        <v>6468.8</v>
      </c>
    </row>
    <row r="119" spans="1:6" x14ac:dyDescent="0.25">
      <c r="A119" s="1">
        <v>38940</v>
      </c>
      <c r="B119">
        <v>6555</v>
      </c>
      <c r="C119">
        <v>6585</v>
      </c>
      <c r="D119">
        <v>6528</v>
      </c>
      <c r="E119">
        <v>6540</v>
      </c>
      <c r="F119">
        <v>6504</v>
      </c>
    </row>
    <row r="120" spans="1:6" x14ac:dyDescent="0.25">
      <c r="A120" s="1">
        <v>38943</v>
      </c>
      <c r="B120">
        <v>6554</v>
      </c>
      <c r="C120">
        <v>6639</v>
      </c>
      <c r="D120">
        <v>6554</v>
      </c>
      <c r="E120">
        <v>6600</v>
      </c>
      <c r="F120">
        <v>6553.8</v>
      </c>
    </row>
    <row r="121" spans="1:6" x14ac:dyDescent="0.25">
      <c r="A121" s="1">
        <v>38944</v>
      </c>
      <c r="B121">
        <v>6600</v>
      </c>
      <c r="C121">
        <v>6613</v>
      </c>
      <c r="D121">
        <v>6571</v>
      </c>
      <c r="E121">
        <v>6606</v>
      </c>
      <c r="F121">
        <v>6574</v>
      </c>
    </row>
    <row r="122" spans="1:6" x14ac:dyDescent="0.25">
      <c r="A122" s="1">
        <v>38945</v>
      </c>
      <c r="B122">
        <v>6675</v>
      </c>
      <c r="C122">
        <v>6705</v>
      </c>
      <c r="D122">
        <v>6655</v>
      </c>
      <c r="E122">
        <v>6705</v>
      </c>
      <c r="F122">
        <v>6601.2</v>
      </c>
    </row>
    <row r="123" spans="1:6" x14ac:dyDescent="0.25">
      <c r="A123" s="1">
        <v>38946</v>
      </c>
      <c r="B123">
        <v>6720</v>
      </c>
      <c r="C123">
        <v>6732</v>
      </c>
      <c r="D123">
        <v>6686</v>
      </c>
      <c r="E123">
        <v>6695</v>
      </c>
      <c r="F123">
        <v>6629.2</v>
      </c>
    </row>
    <row r="124" spans="1:6" x14ac:dyDescent="0.25">
      <c r="A124" s="1">
        <v>38947</v>
      </c>
      <c r="B124">
        <v>6707</v>
      </c>
      <c r="C124">
        <v>6715</v>
      </c>
      <c r="D124">
        <v>6690</v>
      </c>
      <c r="E124">
        <v>6700</v>
      </c>
      <c r="F124">
        <v>6661.2</v>
      </c>
    </row>
    <row r="125" spans="1:6" x14ac:dyDescent="0.25">
      <c r="A125" s="1">
        <v>38950</v>
      </c>
      <c r="B125">
        <v>6690</v>
      </c>
      <c r="C125">
        <v>6694</v>
      </c>
      <c r="D125">
        <v>6445</v>
      </c>
      <c r="E125">
        <v>6459</v>
      </c>
      <c r="F125">
        <v>6633</v>
      </c>
    </row>
    <row r="126" spans="1:6" x14ac:dyDescent="0.25">
      <c r="A126" s="1">
        <v>38951</v>
      </c>
      <c r="B126">
        <v>6470</v>
      </c>
      <c r="C126">
        <v>6545</v>
      </c>
      <c r="D126">
        <v>6466</v>
      </c>
      <c r="E126">
        <v>6540</v>
      </c>
      <c r="F126">
        <v>6619.8</v>
      </c>
    </row>
    <row r="127" spans="1:6" x14ac:dyDescent="0.25">
      <c r="A127" s="1">
        <v>38952</v>
      </c>
      <c r="B127">
        <v>6530</v>
      </c>
      <c r="C127">
        <v>6547</v>
      </c>
      <c r="D127">
        <v>6377</v>
      </c>
      <c r="E127">
        <v>6519</v>
      </c>
      <c r="F127">
        <v>6582.6</v>
      </c>
    </row>
    <row r="128" spans="1:6" x14ac:dyDescent="0.25">
      <c r="A128" s="1">
        <v>38953</v>
      </c>
      <c r="B128">
        <v>6483</v>
      </c>
      <c r="C128">
        <v>6530</v>
      </c>
      <c r="D128">
        <v>6464</v>
      </c>
      <c r="E128">
        <v>6514</v>
      </c>
      <c r="F128">
        <v>6546.4</v>
      </c>
    </row>
    <row r="129" spans="1:6" x14ac:dyDescent="0.25">
      <c r="A129" s="1">
        <v>38954</v>
      </c>
      <c r="B129">
        <v>6518</v>
      </c>
      <c r="C129">
        <v>6585</v>
      </c>
      <c r="D129">
        <v>6475</v>
      </c>
      <c r="E129">
        <v>6490</v>
      </c>
      <c r="F129">
        <v>6504.4</v>
      </c>
    </row>
    <row r="130" spans="1:6" x14ac:dyDescent="0.25">
      <c r="A130" s="1">
        <v>38957</v>
      </c>
      <c r="B130">
        <v>6500</v>
      </c>
      <c r="C130">
        <v>6509</v>
      </c>
      <c r="D130">
        <v>6381</v>
      </c>
      <c r="E130">
        <v>6410</v>
      </c>
      <c r="F130">
        <v>6494.6</v>
      </c>
    </row>
    <row r="131" spans="1:6" x14ac:dyDescent="0.25">
      <c r="A131" s="1">
        <v>38958</v>
      </c>
      <c r="B131">
        <v>6450</v>
      </c>
      <c r="C131">
        <v>6462</v>
      </c>
      <c r="D131">
        <v>6420</v>
      </c>
      <c r="E131">
        <v>6441</v>
      </c>
      <c r="F131">
        <v>6474.8</v>
      </c>
    </row>
    <row r="132" spans="1:6" x14ac:dyDescent="0.25">
      <c r="A132" s="1">
        <v>38959</v>
      </c>
      <c r="B132">
        <v>6450</v>
      </c>
      <c r="C132">
        <v>6584</v>
      </c>
      <c r="D132">
        <v>6432</v>
      </c>
      <c r="E132">
        <v>6565</v>
      </c>
      <c r="F132">
        <v>6484</v>
      </c>
    </row>
    <row r="133" spans="1:6" x14ac:dyDescent="0.25">
      <c r="A133" s="1">
        <v>38960</v>
      </c>
      <c r="B133">
        <v>6590</v>
      </c>
      <c r="C133">
        <v>6648</v>
      </c>
      <c r="D133">
        <v>6581</v>
      </c>
      <c r="E133">
        <v>6619</v>
      </c>
      <c r="F133">
        <v>6505</v>
      </c>
    </row>
    <row r="134" spans="1:6" x14ac:dyDescent="0.25">
      <c r="A134" s="1">
        <v>38961</v>
      </c>
      <c r="B134">
        <v>6623</v>
      </c>
      <c r="C134">
        <v>6645</v>
      </c>
      <c r="D134">
        <v>6606</v>
      </c>
      <c r="E134">
        <v>6645</v>
      </c>
      <c r="F134">
        <v>6536</v>
      </c>
    </row>
    <row r="135" spans="1:6" x14ac:dyDescent="0.25">
      <c r="A135" s="1">
        <v>38964</v>
      </c>
      <c r="B135">
        <v>6686</v>
      </c>
      <c r="C135">
        <v>6755</v>
      </c>
      <c r="D135">
        <v>6686</v>
      </c>
      <c r="E135">
        <v>6742</v>
      </c>
      <c r="F135">
        <v>6602.4</v>
      </c>
    </row>
    <row r="136" spans="1:6" x14ac:dyDescent="0.25">
      <c r="A136" s="1">
        <v>38965</v>
      </c>
      <c r="B136">
        <v>6749</v>
      </c>
      <c r="C136">
        <v>6749</v>
      </c>
      <c r="D136">
        <v>6712</v>
      </c>
      <c r="E136">
        <v>6745</v>
      </c>
      <c r="F136">
        <v>6663.2</v>
      </c>
    </row>
    <row r="137" spans="1:6" x14ac:dyDescent="0.25">
      <c r="A137" s="1">
        <v>38966</v>
      </c>
      <c r="B137">
        <v>6738</v>
      </c>
      <c r="C137">
        <v>6738</v>
      </c>
      <c r="D137">
        <v>6605</v>
      </c>
      <c r="E137">
        <v>6636</v>
      </c>
      <c r="F137">
        <v>6677.4</v>
      </c>
    </row>
    <row r="138" spans="1:6" x14ac:dyDescent="0.25">
      <c r="A138" s="1">
        <v>38967</v>
      </c>
      <c r="B138">
        <v>6601</v>
      </c>
      <c r="C138">
        <v>6683</v>
      </c>
      <c r="D138">
        <v>6582</v>
      </c>
      <c r="E138">
        <v>6646</v>
      </c>
      <c r="F138">
        <v>6682.8</v>
      </c>
    </row>
    <row r="139" spans="1:6" x14ac:dyDescent="0.25">
      <c r="A139" s="1">
        <v>38968</v>
      </c>
      <c r="B139">
        <v>6612</v>
      </c>
      <c r="C139">
        <v>6700</v>
      </c>
      <c r="D139">
        <v>6603</v>
      </c>
      <c r="E139">
        <v>6690</v>
      </c>
      <c r="F139">
        <v>6691.8</v>
      </c>
    </row>
    <row r="140" spans="1:6" x14ac:dyDescent="0.25">
      <c r="A140" s="1">
        <v>38971</v>
      </c>
      <c r="B140">
        <v>6690</v>
      </c>
      <c r="C140">
        <v>6810</v>
      </c>
      <c r="D140">
        <v>6620</v>
      </c>
      <c r="E140">
        <v>6648</v>
      </c>
      <c r="F140">
        <v>6673</v>
      </c>
    </row>
    <row r="141" spans="1:6" x14ac:dyDescent="0.25">
      <c r="A141" s="1">
        <v>38972</v>
      </c>
      <c r="B141">
        <v>6633</v>
      </c>
      <c r="C141">
        <v>6676</v>
      </c>
      <c r="D141">
        <v>6588</v>
      </c>
      <c r="E141">
        <v>6588</v>
      </c>
      <c r="F141">
        <v>6641.6</v>
      </c>
    </row>
    <row r="142" spans="1:6" x14ac:dyDescent="0.25">
      <c r="A142" s="1">
        <v>38973</v>
      </c>
      <c r="B142">
        <v>6650</v>
      </c>
      <c r="C142">
        <v>6669</v>
      </c>
      <c r="D142">
        <v>6605</v>
      </c>
      <c r="E142">
        <v>6649</v>
      </c>
      <c r="F142">
        <v>6644.2</v>
      </c>
    </row>
    <row r="143" spans="1:6" x14ac:dyDescent="0.25">
      <c r="A143" s="1">
        <v>38974</v>
      </c>
      <c r="B143">
        <v>6654</v>
      </c>
      <c r="C143">
        <v>6691</v>
      </c>
      <c r="D143">
        <v>6506</v>
      </c>
      <c r="E143">
        <v>6569</v>
      </c>
      <c r="F143">
        <v>6628.8</v>
      </c>
    </row>
    <row r="144" spans="1:6" x14ac:dyDescent="0.25">
      <c r="A144" s="1">
        <v>38975</v>
      </c>
      <c r="B144">
        <v>6562</v>
      </c>
      <c r="C144">
        <v>6675</v>
      </c>
      <c r="D144">
        <v>6552</v>
      </c>
      <c r="E144">
        <v>6670</v>
      </c>
      <c r="F144">
        <v>6624.8</v>
      </c>
    </row>
    <row r="145" spans="1:6" x14ac:dyDescent="0.25">
      <c r="A145" s="1">
        <v>38978</v>
      </c>
      <c r="B145">
        <v>6744</v>
      </c>
      <c r="C145">
        <v>6910</v>
      </c>
      <c r="D145">
        <v>6710</v>
      </c>
      <c r="E145">
        <v>6910</v>
      </c>
      <c r="F145">
        <v>6677.2</v>
      </c>
    </row>
    <row r="146" spans="1:6" x14ac:dyDescent="0.25">
      <c r="A146" s="1">
        <v>38979</v>
      </c>
      <c r="B146">
        <v>6911</v>
      </c>
      <c r="C146">
        <v>6926</v>
      </c>
      <c r="D146">
        <v>6863</v>
      </c>
      <c r="E146">
        <v>6883</v>
      </c>
      <c r="F146">
        <v>6736.2</v>
      </c>
    </row>
    <row r="147" spans="1:6" x14ac:dyDescent="0.25">
      <c r="A147" s="1">
        <v>38980</v>
      </c>
      <c r="B147">
        <v>6849</v>
      </c>
      <c r="C147">
        <v>6899</v>
      </c>
      <c r="D147">
        <v>6823</v>
      </c>
      <c r="E147">
        <v>6899</v>
      </c>
      <c r="F147">
        <v>6786.2</v>
      </c>
    </row>
    <row r="148" spans="1:6" x14ac:dyDescent="0.25">
      <c r="A148" s="1">
        <v>38981</v>
      </c>
      <c r="B148">
        <v>6907</v>
      </c>
      <c r="C148">
        <v>6920</v>
      </c>
      <c r="D148">
        <v>6818</v>
      </c>
      <c r="E148">
        <v>6875</v>
      </c>
      <c r="F148">
        <v>6847.4</v>
      </c>
    </row>
    <row r="149" spans="1:6" x14ac:dyDescent="0.25">
      <c r="A149" s="1">
        <v>38982</v>
      </c>
      <c r="B149">
        <v>6848</v>
      </c>
      <c r="C149">
        <v>6874</v>
      </c>
      <c r="D149">
        <v>6830</v>
      </c>
      <c r="E149">
        <v>6859</v>
      </c>
      <c r="F149">
        <v>6885.2</v>
      </c>
    </row>
    <row r="150" spans="1:6" x14ac:dyDescent="0.25">
      <c r="A150" s="1">
        <v>38985</v>
      </c>
      <c r="B150">
        <v>6847</v>
      </c>
      <c r="C150">
        <v>6924</v>
      </c>
      <c r="D150">
        <v>6820</v>
      </c>
      <c r="E150">
        <v>6924</v>
      </c>
      <c r="F150">
        <v>6888</v>
      </c>
    </row>
    <row r="151" spans="1:6" x14ac:dyDescent="0.25">
      <c r="A151" s="1">
        <v>38986</v>
      </c>
      <c r="B151">
        <v>6930</v>
      </c>
      <c r="C151">
        <v>6955</v>
      </c>
      <c r="D151">
        <v>6886</v>
      </c>
      <c r="E151">
        <v>6895</v>
      </c>
      <c r="F151">
        <v>6890.4</v>
      </c>
    </row>
    <row r="152" spans="1:6" x14ac:dyDescent="0.25">
      <c r="A152" s="1">
        <v>38987</v>
      </c>
      <c r="B152">
        <v>6950</v>
      </c>
      <c r="C152">
        <v>6966</v>
      </c>
      <c r="D152">
        <v>6917</v>
      </c>
      <c r="E152">
        <v>6957</v>
      </c>
      <c r="F152">
        <v>6902</v>
      </c>
    </row>
    <row r="153" spans="1:6" x14ac:dyDescent="0.25">
      <c r="A153" s="1">
        <v>38988</v>
      </c>
      <c r="B153">
        <v>6955</v>
      </c>
      <c r="C153">
        <v>6980</v>
      </c>
      <c r="D153">
        <v>6841</v>
      </c>
      <c r="E153">
        <v>6860</v>
      </c>
      <c r="F153">
        <v>6899</v>
      </c>
    </row>
    <row r="154" spans="1:6" x14ac:dyDescent="0.25">
      <c r="A154" s="1">
        <v>38989</v>
      </c>
      <c r="B154">
        <v>6884</v>
      </c>
      <c r="C154">
        <v>6894</v>
      </c>
      <c r="D154">
        <v>6846</v>
      </c>
      <c r="E154">
        <v>6878</v>
      </c>
      <c r="F154">
        <v>6902.8</v>
      </c>
    </row>
    <row r="155" spans="1:6" x14ac:dyDescent="0.25">
      <c r="A155" s="1">
        <v>38992</v>
      </c>
      <c r="B155">
        <v>6870</v>
      </c>
      <c r="C155">
        <v>6975</v>
      </c>
      <c r="D155">
        <v>6865</v>
      </c>
      <c r="E155">
        <v>6965</v>
      </c>
      <c r="F155">
        <v>6911</v>
      </c>
    </row>
    <row r="156" spans="1:6" x14ac:dyDescent="0.25">
      <c r="A156" s="1">
        <v>38993</v>
      </c>
      <c r="B156">
        <v>6937</v>
      </c>
      <c r="C156">
        <v>6965</v>
      </c>
      <c r="D156">
        <v>6926</v>
      </c>
      <c r="E156">
        <v>6942</v>
      </c>
      <c r="F156">
        <v>6920.4</v>
      </c>
    </row>
    <row r="157" spans="1:6" x14ac:dyDescent="0.25">
      <c r="A157" s="1">
        <v>38994</v>
      </c>
      <c r="B157">
        <v>6950</v>
      </c>
      <c r="C157">
        <v>6969</v>
      </c>
      <c r="D157">
        <v>6856</v>
      </c>
      <c r="E157">
        <v>6867</v>
      </c>
      <c r="F157">
        <v>6902.4</v>
      </c>
    </row>
    <row r="158" spans="1:6" x14ac:dyDescent="0.25">
      <c r="A158" s="1">
        <v>38995</v>
      </c>
      <c r="B158">
        <v>6930</v>
      </c>
      <c r="C158">
        <v>7014</v>
      </c>
      <c r="D158">
        <v>6920</v>
      </c>
      <c r="E158">
        <v>7013</v>
      </c>
      <c r="F158">
        <v>6933</v>
      </c>
    </row>
    <row r="159" spans="1:6" x14ac:dyDescent="0.25">
      <c r="A159" s="1">
        <v>39001</v>
      </c>
      <c r="B159">
        <v>7020</v>
      </c>
      <c r="C159">
        <v>7052</v>
      </c>
      <c r="D159">
        <v>6988</v>
      </c>
      <c r="E159">
        <v>7009</v>
      </c>
      <c r="F159">
        <v>6959.2</v>
      </c>
    </row>
    <row r="160" spans="1:6" x14ac:dyDescent="0.25">
      <c r="A160" s="1">
        <v>39002</v>
      </c>
      <c r="B160">
        <v>7012</v>
      </c>
      <c r="C160">
        <v>7038</v>
      </c>
      <c r="D160">
        <v>6960</v>
      </c>
      <c r="E160">
        <v>6986</v>
      </c>
      <c r="F160">
        <v>6963.4</v>
      </c>
    </row>
    <row r="161" spans="1:6" x14ac:dyDescent="0.25">
      <c r="A161" s="1">
        <v>39003</v>
      </c>
      <c r="B161">
        <v>7050</v>
      </c>
      <c r="C161">
        <v>7110</v>
      </c>
      <c r="D161">
        <v>7040</v>
      </c>
      <c r="E161">
        <v>7086</v>
      </c>
      <c r="F161">
        <v>6992.2</v>
      </c>
    </row>
    <row r="162" spans="1:6" x14ac:dyDescent="0.25">
      <c r="A162" s="1">
        <v>39004</v>
      </c>
      <c r="B162">
        <v>7095</v>
      </c>
      <c r="C162">
        <v>7100</v>
      </c>
      <c r="D162">
        <v>7070</v>
      </c>
      <c r="E162">
        <v>7100</v>
      </c>
      <c r="F162">
        <v>7038.8</v>
      </c>
    </row>
    <row r="163" spans="1:6" x14ac:dyDescent="0.25">
      <c r="A163" s="1">
        <v>39006</v>
      </c>
      <c r="B163">
        <v>7102</v>
      </c>
      <c r="C163">
        <v>7165</v>
      </c>
      <c r="D163">
        <v>7092</v>
      </c>
      <c r="E163">
        <v>7145</v>
      </c>
      <c r="F163">
        <v>7065.2</v>
      </c>
    </row>
    <row r="164" spans="1:6" x14ac:dyDescent="0.25">
      <c r="A164" s="1">
        <v>39007</v>
      </c>
      <c r="B164">
        <v>7150</v>
      </c>
      <c r="C164">
        <v>7150</v>
      </c>
      <c r="D164">
        <v>7075</v>
      </c>
      <c r="E164">
        <v>7078</v>
      </c>
      <c r="F164">
        <v>7079</v>
      </c>
    </row>
    <row r="165" spans="1:6" x14ac:dyDescent="0.25">
      <c r="A165" s="1">
        <v>39008</v>
      </c>
      <c r="B165">
        <v>7056</v>
      </c>
      <c r="C165">
        <v>7059</v>
      </c>
      <c r="D165">
        <v>6972</v>
      </c>
      <c r="E165">
        <v>7027</v>
      </c>
      <c r="F165">
        <v>7087.2</v>
      </c>
    </row>
    <row r="166" spans="1:6" x14ac:dyDescent="0.25">
      <c r="A166" s="1">
        <v>39009</v>
      </c>
      <c r="B166">
        <v>7016</v>
      </c>
      <c r="C166">
        <v>7034</v>
      </c>
      <c r="D166">
        <v>6961</v>
      </c>
      <c r="E166">
        <v>6979</v>
      </c>
      <c r="F166">
        <v>7065.8</v>
      </c>
    </row>
    <row r="167" spans="1:6" x14ac:dyDescent="0.25">
      <c r="A167" s="1">
        <v>39010</v>
      </c>
      <c r="B167">
        <v>7014</v>
      </c>
      <c r="C167">
        <v>7025</v>
      </c>
      <c r="D167">
        <v>6996</v>
      </c>
      <c r="E167">
        <v>7013</v>
      </c>
      <c r="F167">
        <v>7048.4</v>
      </c>
    </row>
    <row r="168" spans="1:6" x14ac:dyDescent="0.25">
      <c r="A168" s="1">
        <v>39013</v>
      </c>
      <c r="B168">
        <v>7015</v>
      </c>
      <c r="C168">
        <v>7050</v>
      </c>
      <c r="D168">
        <v>6977</v>
      </c>
      <c r="E168">
        <v>7049</v>
      </c>
      <c r="F168">
        <v>7029.2</v>
      </c>
    </row>
    <row r="169" spans="1:6" x14ac:dyDescent="0.25">
      <c r="A169" s="1">
        <v>39014</v>
      </c>
      <c r="B169">
        <v>7080</v>
      </c>
      <c r="C169">
        <v>7120</v>
      </c>
      <c r="D169">
        <v>7058</v>
      </c>
      <c r="E169">
        <v>7091</v>
      </c>
      <c r="F169">
        <v>7031.8</v>
      </c>
    </row>
    <row r="170" spans="1:6" x14ac:dyDescent="0.25">
      <c r="A170" s="1">
        <v>39015</v>
      </c>
      <c r="B170">
        <v>7090</v>
      </c>
      <c r="C170">
        <v>7106</v>
      </c>
      <c r="D170">
        <v>7061</v>
      </c>
      <c r="E170">
        <v>7061</v>
      </c>
      <c r="F170">
        <v>7038.6</v>
      </c>
    </row>
    <row r="171" spans="1:6" x14ac:dyDescent="0.25">
      <c r="A171" s="1">
        <v>39016</v>
      </c>
      <c r="B171">
        <v>7080</v>
      </c>
      <c r="C171">
        <v>7125</v>
      </c>
      <c r="D171">
        <v>7072</v>
      </c>
      <c r="E171">
        <v>7090</v>
      </c>
      <c r="F171">
        <v>7060.8</v>
      </c>
    </row>
    <row r="172" spans="1:6" x14ac:dyDescent="0.25">
      <c r="A172" s="1">
        <v>39017</v>
      </c>
      <c r="B172">
        <v>7119</v>
      </c>
      <c r="C172">
        <v>7134</v>
      </c>
      <c r="D172">
        <v>7076</v>
      </c>
      <c r="E172">
        <v>7097</v>
      </c>
      <c r="F172">
        <v>7077.6</v>
      </c>
    </row>
    <row r="173" spans="1:6" x14ac:dyDescent="0.25">
      <c r="A173" s="1">
        <v>39020</v>
      </c>
      <c r="B173">
        <v>7046</v>
      </c>
      <c r="C173">
        <v>7048</v>
      </c>
      <c r="D173">
        <v>6976</v>
      </c>
      <c r="E173">
        <v>6980</v>
      </c>
      <c r="F173">
        <v>7063.8</v>
      </c>
    </row>
    <row r="174" spans="1:6" x14ac:dyDescent="0.25">
      <c r="A174" s="1">
        <v>39021</v>
      </c>
      <c r="B174">
        <v>6995</v>
      </c>
      <c r="C174">
        <v>7008</v>
      </c>
      <c r="D174">
        <v>6967</v>
      </c>
      <c r="E174">
        <v>7004</v>
      </c>
      <c r="F174">
        <v>7046.4</v>
      </c>
    </row>
    <row r="175" spans="1:6" x14ac:dyDescent="0.25">
      <c r="A175" s="1">
        <v>39022</v>
      </c>
      <c r="B175">
        <v>6992</v>
      </c>
      <c r="C175">
        <v>7023</v>
      </c>
      <c r="D175">
        <v>6992</v>
      </c>
      <c r="E175">
        <v>7003</v>
      </c>
      <c r="F175">
        <v>7034.8</v>
      </c>
    </row>
    <row r="176" spans="1:6" x14ac:dyDescent="0.25">
      <c r="A176" s="1">
        <v>39023</v>
      </c>
      <c r="B176">
        <v>6968</v>
      </c>
      <c r="C176">
        <v>7072</v>
      </c>
      <c r="D176">
        <v>6955</v>
      </c>
      <c r="E176">
        <v>7064</v>
      </c>
      <c r="F176">
        <v>7029.6</v>
      </c>
    </row>
    <row r="177" spans="1:6" x14ac:dyDescent="0.25">
      <c r="A177" s="1">
        <v>39024</v>
      </c>
      <c r="B177">
        <v>7066</v>
      </c>
      <c r="C177">
        <v>7178</v>
      </c>
      <c r="D177">
        <v>7054</v>
      </c>
      <c r="E177">
        <v>7148</v>
      </c>
      <c r="F177">
        <v>7039.8</v>
      </c>
    </row>
    <row r="178" spans="1:6" x14ac:dyDescent="0.25">
      <c r="A178" s="1">
        <v>39027</v>
      </c>
      <c r="B178">
        <v>7071</v>
      </c>
      <c r="C178">
        <v>7154</v>
      </c>
      <c r="D178">
        <v>7046</v>
      </c>
      <c r="E178">
        <v>7120</v>
      </c>
      <c r="F178">
        <v>7067.8</v>
      </c>
    </row>
    <row r="179" spans="1:6" x14ac:dyDescent="0.25">
      <c r="A179" s="1">
        <v>39028</v>
      </c>
      <c r="B179">
        <v>7180</v>
      </c>
      <c r="C179">
        <v>7212</v>
      </c>
      <c r="D179">
        <v>7166</v>
      </c>
      <c r="E179">
        <v>7187</v>
      </c>
      <c r="F179">
        <v>7104.4</v>
      </c>
    </row>
    <row r="180" spans="1:6" x14ac:dyDescent="0.25">
      <c r="A180" s="1">
        <v>39029</v>
      </c>
      <c r="B180">
        <v>7197</v>
      </c>
      <c r="C180">
        <v>7197</v>
      </c>
      <c r="D180">
        <v>7153</v>
      </c>
      <c r="E180">
        <v>7160</v>
      </c>
      <c r="F180">
        <v>7135.8</v>
      </c>
    </row>
    <row r="181" spans="1:6" x14ac:dyDescent="0.25">
      <c r="A181" s="1">
        <v>39030</v>
      </c>
      <c r="B181">
        <v>7179</v>
      </c>
      <c r="C181">
        <v>7230</v>
      </c>
      <c r="D181">
        <v>7110</v>
      </c>
      <c r="E181">
        <v>7127</v>
      </c>
      <c r="F181">
        <v>7148.4</v>
      </c>
    </row>
    <row r="182" spans="1:6" x14ac:dyDescent="0.25">
      <c r="A182" s="1">
        <v>39031</v>
      </c>
      <c r="B182">
        <v>7128</v>
      </c>
      <c r="C182">
        <v>7165</v>
      </c>
      <c r="D182">
        <v>7102</v>
      </c>
      <c r="E182">
        <v>7165</v>
      </c>
      <c r="F182">
        <v>7151.8</v>
      </c>
    </row>
    <row r="183" spans="1:6" x14ac:dyDescent="0.25">
      <c r="A183" s="1">
        <v>39034</v>
      </c>
      <c r="B183">
        <v>7165</v>
      </c>
      <c r="C183">
        <v>7178</v>
      </c>
      <c r="D183">
        <v>7112</v>
      </c>
      <c r="E183">
        <v>7140</v>
      </c>
      <c r="F183">
        <v>7155.8</v>
      </c>
    </row>
    <row r="184" spans="1:6" x14ac:dyDescent="0.25">
      <c r="A184" s="1">
        <v>39035</v>
      </c>
      <c r="B184">
        <v>7176</v>
      </c>
      <c r="C184">
        <v>7209</v>
      </c>
      <c r="D184">
        <v>7161</v>
      </c>
      <c r="E184">
        <v>7205</v>
      </c>
      <c r="F184">
        <v>7159.4</v>
      </c>
    </row>
    <row r="185" spans="1:6" x14ac:dyDescent="0.25">
      <c r="A185" s="1">
        <v>39036</v>
      </c>
      <c r="B185">
        <v>7246</v>
      </c>
      <c r="C185">
        <v>7257</v>
      </c>
      <c r="D185">
        <v>7216</v>
      </c>
      <c r="E185">
        <v>7248</v>
      </c>
      <c r="F185">
        <v>7177</v>
      </c>
    </row>
    <row r="186" spans="1:6" x14ac:dyDescent="0.25">
      <c r="A186" s="1">
        <v>39037</v>
      </c>
      <c r="B186">
        <v>7250</v>
      </c>
      <c r="C186">
        <v>7270</v>
      </c>
      <c r="D186">
        <v>7230</v>
      </c>
      <c r="E186">
        <v>7245</v>
      </c>
      <c r="F186">
        <v>7200.6</v>
      </c>
    </row>
    <row r="187" spans="1:6" x14ac:dyDescent="0.25">
      <c r="A187" s="1">
        <v>39038</v>
      </c>
      <c r="B187">
        <v>7262</v>
      </c>
      <c r="C187">
        <v>7274</v>
      </c>
      <c r="D187">
        <v>7239</v>
      </c>
      <c r="E187">
        <v>7256</v>
      </c>
      <c r="F187">
        <v>7218.8</v>
      </c>
    </row>
    <row r="188" spans="1:6" x14ac:dyDescent="0.25">
      <c r="A188" s="1">
        <v>39041</v>
      </c>
      <c r="B188">
        <v>7245</v>
      </c>
      <c r="C188">
        <v>7246</v>
      </c>
      <c r="D188">
        <v>7208</v>
      </c>
      <c r="E188">
        <v>7227</v>
      </c>
      <c r="F188">
        <v>7236.2</v>
      </c>
    </row>
    <row r="189" spans="1:6" x14ac:dyDescent="0.25">
      <c r="A189" s="1">
        <v>39042</v>
      </c>
      <c r="B189">
        <v>7238</v>
      </c>
      <c r="C189">
        <v>7310</v>
      </c>
      <c r="D189">
        <v>7225</v>
      </c>
      <c r="E189">
        <v>7310</v>
      </c>
      <c r="F189">
        <v>7257.2</v>
      </c>
    </row>
    <row r="190" spans="1:6" x14ac:dyDescent="0.25">
      <c r="A190" s="1">
        <v>39043</v>
      </c>
      <c r="B190">
        <v>7310</v>
      </c>
      <c r="C190">
        <v>7344</v>
      </c>
      <c r="D190">
        <v>7297</v>
      </c>
      <c r="E190">
        <v>7340</v>
      </c>
      <c r="F190">
        <v>7275.6</v>
      </c>
    </row>
    <row r="191" spans="1:6" x14ac:dyDescent="0.25">
      <c r="A191" s="1">
        <v>39044</v>
      </c>
      <c r="B191">
        <v>7350</v>
      </c>
      <c r="C191">
        <v>7429</v>
      </c>
      <c r="D191">
        <v>7335</v>
      </c>
      <c r="E191">
        <v>7395</v>
      </c>
      <c r="F191">
        <v>7305.6</v>
      </c>
    </row>
    <row r="192" spans="1:6" x14ac:dyDescent="0.25">
      <c r="A192" s="1">
        <v>39045</v>
      </c>
      <c r="B192">
        <v>7376</v>
      </c>
      <c r="C192">
        <v>7435</v>
      </c>
      <c r="D192">
        <v>7365</v>
      </c>
      <c r="E192">
        <v>7431</v>
      </c>
      <c r="F192">
        <v>7340.6</v>
      </c>
    </row>
    <row r="193" spans="1:6" x14ac:dyDescent="0.25">
      <c r="A193" s="1">
        <v>39048</v>
      </c>
      <c r="B193">
        <v>7465</v>
      </c>
      <c r="C193">
        <v>7515</v>
      </c>
      <c r="D193">
        <v>7450</v>
      </c>
      <c r="E193">
        <v>7507</v>
      </c>
      <c r="F193">
        <v>7396.6</v>
      </c>
    </row>
    <row r="194" spans="1:6" x14ac:dyDescent="0.25">
      <c r="A194" s="1">
        <v>39049</v>
      </c>
      <c r="B194">
        <v>7450</v>
      </c>
      <c r="C194">
        <v>7473</v>
      </c>
      <c r="D194">
        <v>7435</v>
      </c>
      <c r="E194">
        <v>7460</v>
      </c>
      <c r="F194">
        <v>7426.6</v>
      </c>
    </row>
    <row r="195" spans="1:6" x14ac:dyDescent="0.25">
      <c r="A195" s="1">
        <v>39050</v>
      </c>
      <c r="B195">
        <v>7478</v>
      </c>
      <c r="C195">
        <v>7498</v>
      </c>
      <c r="D195">
        <v>7395</v>
      </c>
      <c r="E195">
        <v>7463</v>
      </c>
      <c r="F195">
        <v>7451.2</v>
      </c>
    </row>
    <row r="196" spans="1:6" x14ac:dyDescent="0.25">
      <c r="A196" s="1">
        <v>39051</v>
      </c>
      <c r="B196">
        <v>7500</v>
      </c>
      <c r="C196">
        <v>7553</v>
      </c>
      <c r="D196">
        <v>7476</v>
      </c>
      <c r="E196">
        <v>7549</v>
      </c>
      <c r="F196">
        <v>7482</v>
      </c>
    </row>
    <row r="197" spans="1:6" x14ac:dyDescent="0.25">
      <c r="A197" s="1">
        <v>39052</v>
      </c>
      <c r="B197">
        <v>7553</v>
      </c>
      <c r="C197">
        <v>7625</v>
      </c>
      <c r="D197">
        <v>7537</v>
      </c>
      <c r="E197">
        <v>7618</v>
      </c>
      <c r="F197">
        <v>7519.4</v>
      </c>
    </row>
    <row r="198" spans="1:6" x14ac:dyDescent="0.25">
      <c r="A198" s="1">
        <v>39055</v>
      </c>
      <c r="B198">
        <v>7612</v>
      </c>
      <c r="C198">
        <v>7674</v>
      </c>
      <c r="D198">
        <v>7585</v>
      </c>
      <c r="E198">
        <v>7662</v>
      </c>
      <c r="F198">
        <v>7550.4</v>
      </c>
    </row>
    <row r="199" spans="1:6" x14ac:dyDescent="0.25">
      <c r="A199" s="1">
        <v>39056</v>
      </c>
      <c r="B199">
        <v>7700</v>
      </c>
      <c r="C199">
        <v>7704</v>
      </c>
      <c r="D199">
        <v>7567</v>
      </c>
      <c r="E199">
        <v>7604</v>
      </c>
      <c r="F199">
        <v>7579.2</v>
      </c>
    </row>
    <row r="200" spans="1:6" x14ac:dyDescent="0.25">
      <c r="A200" s="1">
        <v>39057</v>
      </c>
      <c r="B200">
        <v>7616</v>
      </c>
      <c r="C200">
        <v>7715</v>
      </c>
      <c r="D200">
        <v>7611</v>
      </c>
      <c r="E200">
        <v>7715</v>
      </c>
      <c r="F200">
        <v>7629.6</v>
      </c>
    </row>
    <row r="201" spans="1:6" x14ac:dyDescent="0.25">
      <c r="A201" s="1">
        <v>39058</v>
      </c>
      <c r="B201">
        <v>7714</v>
      </c>
      <c r="C201">
        <v>7733</v>
      </c>
      <c r="D201">
        <v>7671</v>
      </c>
      <c r="E201">
        <v>7700</v>
      </c>
      <c r="F201">
        <v>7659.8</v>
      </c>
    </row>
    <row r="202" spans="1:6" x14ac:dyDescent="0.25">
      <c r="A202" s="1">
        <v>39059</v>
      </c>
      <c r="B202">
        <v>7685</v>
      </c>
      <c r="C202">
        <v>7685</v>
      </c>
      <c r="D202">
        <v>7600</v>
      </c>
      <c r="E202">
        <v>7630</v>
      </c>
      <c r="F202">
        <v>7662.2</v>
      </c>
    </row>
    <row r="203" spans="1:6" x14ac:dyDescent="0.25">
      <c r="A203" s="1">
        <v>39062</v>
      </c>
      <c r="B203">
        <v>7640</v>
      </c>
      <c r="C203">
        <v>7642</v>
      </c>
      <c r="D203">
        <v>7575</v>
      </c>
      <c r="E203">
        <v>7620</v>
      </c>
      <c r="F203">
        <v>7653.8</v>
      </c>
    </row>
    <row r="204" spans="1:6" x14ac:dyDescent="0.25">
      <c r="A204" s="1">
        <v>39063</v>
      </c>
      <c r="B204">
        <v>7600</v>
      </c>
      <c r="C204">
        <v>7614</v>
      </c>
      <c r="D204">
        <v>7455</v>
      </c>
      <c r="E204">
        <v>7468</v>
      </c>
      <c r="F204">
        <v>7626.6</v>
      </c>
    </row>
    <row r="205" spans="1:6" x14ac:dyDescent="0.25">
      <c r="A205" s="1">
        <v>39064</v>
      </c>
      <c r="B205">
        <v>7469</v>
      </c>
      <c r="C205">
        <v>7500</v>
      </c>
      <c r="D205">
        <v>7376</v>
      </c>
      <c r="E205">
        <v>7465</v>
      </c>
      <c r="F205">
        <v>7576.6</v>
      </c>
    </row>
    <row r="206" spans="1:6" x14ac:dyDescent="0.25">
      <c r="A206" s="1">
        <v>39065</v>
      </c>
      <c r="B206">
        <v>7465</v>
      </c>
      <c r="C206">
        <v>7492</v>
      </c>
      <c r="D206">
        <v>7426</v>
      </c>
      <c r="E206">
        <v>7473</v>
      </c>
      <c r="F206">
        <v>7531.2</v>
      </c>
    </row>
    <row r="207" spans="1:6" x14ac:dyDescent="0.25">
      <c r="A207" s="1">
        <v>39066</v>
      </c>
      <c r="B207">
        <v>7528</v>
      </c>
      <c r="C207">
        <v>7558</v>
      </c>
      <c r="D207">
        <v>7525</v>
      </c>
      <c r="E207">
        <v>7540</v>
      </c>
      <c r="F207">
        <v>7513.2</v>
      </c>
    </row>
    <row r="208" spans="1:6" x14ac:dyDescent="0.25">
      <c r="A208" s="1">
        <v>39069</v>
      </c>
      <c r="B208">
        <v>7541</v>
      </c>
      <c r="C208">
        <v>7669</v>
      </c>
      <c r="D208">
        <v>7538</v>
      </c>
      <c r="E208">
        <v>7638</v>
      </c>
      <c r="F208">
        <v>7516.8</v>
      </c>
    </row>
    <row r="209" spans="1:6" x14ac:dyDescent="0.25">
      <c r="A209" s="1">
        <v>39070</v>
      </c>
      <c r="B209">
        <v>7634</v>
      </c>
      <c r="C209">
        <v>7676</v>
      </c>
      <c r="D209">
        <v>7582</v>
      </c>
      <c r="E209">
        <v>7588</v>
      </c>
      <c r="F209">
        <v>7540.8</v>
      </c>
    </row>
    <row r="210" spans="1:6" x14ac:dyDescent="0.25">
      <c r="A210" s="1">
        <v>39071</v>
      </c>
      <c r="B210">
        <v>7620</v>
      </c>
      <c r="C210">
        <v>7675</v>
      </c>
      <c r="D210">
        <v>7611</v>
      </c>
      <c r="E210">
        <v>7669</v>
      </c>
      <c r="F210">
        <v>7581.6</v>
      </c>
    </row>
    <row r="211" spans="1:6" x14ac:dyDescent="0.25">
      <c r="A211" s="1">
        <v>39072</v>
      </c>
      <c r="B211">
        <v>7672</v>
      </c>
      <c r="C211">
        <v>7710</v>
      </c>
      <c r="D211">
        <v>7617</v>
      </c>
      <c r="E211">
        <v>7641</v>
      </c>
      <c r="F211">
        <v>7615.2</v>
      </c>
    </row>
    <row r="212" spans="1:6" x14ac:dyDescent="0.25">
      <c r="A212" s="1">
        <v>39073</v>
      </c>
      <c r="B212">
        <v>7625</v>
      </c>
      <c r="C212">
        <v>7690</v>
      </c>
      <c r="D212">
        <v>7625</v>
      </c>
      <c r="E212">
        <v>7688</v>
      </c>
      <c r="F212">
        <v>7644.8</v>
      </c>
    </row>
    <row r="213" spans="1:6" x14ac:dyDescent="0.25">
      <c r="A213" s="1">
        <v>39076</v>
      </c>
      <c r="B213">
        <v>7676</v>
      </c>
      <c r="C213">
        <v>7698</v>
      </c>
      <c r="D213">
        <v>7655</v>
      </c>
      <c r="E213">
        <v>7681</v>
      </c>
      <c r="F213">
        <v>7653.4</v>
      </c>
    </row>
    <row r="214" spans="1:6" x14ac:dyDescent="0.25">
      <c r="A214" s="1">
        <v>39077</v>
      </c>
      <c r="B214">
        <v>7684</v>
      </c>
      <c r="C214">
        <v>7801</v>
      </c>
      <c r="D214">
        <v>7674</v>
      </c>
      <c r="E214">
        <v>7792</v>
      </c>
      <c r="F214">
        <v>7694.2</v>
      </c>
    </row>
    <row r="215" spans="1:6" x14ac:dyDescent="0.25">
      <c r="A215" s="1">
        <v>39078</v>
      </c>
      <c r="B215">
        <v>7803</v>
      </c>
      <c r="C215">
        <v>7845</v>
      </c>
      <c r="D215">
        <v>7777</v>
      </c>
      <c r="E215">
        <v>7795</v>
      </c>
      <c r="F215">
        <v>7719.4</v>
      </c>
    </row>
    <row r="216" spans="1:6" x14ac:dyDescent="0.25">
      <c r="A216" s="1">
        <v>39079</v>
      </c>
      <c r="B216">
        <v>7846</v>
      </c>
      <c r="C216">
        <v>7850</v>
      </c>
      <c r="D216">
        <v>7750</v>
      </c>
      <c r="E216">
        <v>7800</v>
      </c>
      <c r="F216">
        <v>7751.2</v>
      </c>
    </row>
    <row r="217" spans="1:6" x14ac:dyDescent="0.25">
      <c r="A217" s="1">
        <v>39080</v>
      </c>
      <c r="B217">
        <v>7817</v>
      </c>
      <c r="C217">
        <v>7888</v>
      </c>
      <c r="D217">
        <v>7792</v>
      </c>
      <c r="E217">
        <v>7883</v>
      </c>
      <c r="F217">
        <v>7790.2</v>
      </c>
    </row>
    <row r="218" spans="1:6" x14ac:dyDescent="0.25">
      <c r="A218" s="1">
        <v>39084</v>
      </c>
      <c r="B218">
        <v>7904</v>
      </c>
      <c r="C218">
        <v>7994</v>
      </c>
      <c r="D218">
        <v>7881</v>
      </c>
      <c r="E218">
        <v>7988</v>
      </c>
      <c r="F218">
        <v>7851.6</v>
      </c>
    </row>
    <row r="219" spans="1:6" x14ac:dyDescent="0.25">
      <c r="A219" s="1">
        <v>39085</v>
      </c>
      <c r="B219">
        <v>8000</v>
      </c>
      <c r="C219">
        <v>8036</v>
      </c>
      <c r="D219">
        <v>7956</v>
      </c>
      <c r="E219">
        <v>7976</v>
      </c>
      <c r="F219">
        <v>7888.4</v>
      </c>
    </row>
    <row r="220" spans="1:6" x14ac:dyDescent="0.25">
      <c r="A220" s="1">
        <v>39086</v>
      </c>
      <c r="B220">
        <v>7974</v>
      </c>
      <c r="C220">
        <v>7998</v>
      </c>
      <c r="D220">
        <v>7938</v>
      </c>
      <c r="E220">
        <v>7981</v>
      </c>
      <c r="F220">
        <v>7925.6</v>
      </c>
    </row>
    <row r="221" spans="1:6" x14ac:dyDescent="0.25">
      <c r="A221" s="1">
        <v>39087</v>
      </c>
      <c r="B221">
        <v>7988</v>
      </c>
      <c r="C221">
        <v>7989</v>
      </c>
      <c r="D221">
        <v>7826</v>
      </c>
      <c r="E221">
        <v>7829</v>
      </c>
      <c r="F221">
        <v>7931.4</v>
      </c>
    </row>
    <row r="222" spans="1:6" x14ac:dyDescent="0.25">
      <c r="A222" s="1">
        <v>39090</v>
      </c>
      <c r="B222">
        <v>7787</v>
      </c>
      <c r="C222">
        <v>7808</v>
      </c>
      <c r="D222">
        <v>7730</v>
      </c>
      <c r="E222">
        <v>7735</v>
      </c>
      <c r="F222">
        <v>7901.8</v>
      </c>
    </row>
    <row r="223" spans="1:6" x14ac:dyDescent="0.25">
      <c r="A223" s="1">
        <v>39091</v>
      </c>
      <c r="B223">
        <v>7763</v>
      </c>
      <c r="C223">
        <v>7835</v>
      </c>
      <c r="D223">
        <v>7750</v>
      </c>
      <c r="E223">
        <v>7820</v>
      </c>
      <c r="F223">
        <v>7868.2</v>
      </c>
    </row>
    <row r="224" spans="1:6" x14ac:dyDescent="0.25">
      <c r="A224" s="1">
        <v>39092</v>
      </c>
      <c r="B224">
        <v>7785</v>
      </c>
      <c r="C224">
        <v>7785</v>
      </c>
      <c r="D224">
        <v>7670</v>
      </c>
      <c r="E224">
        <v>7690</v>
      </c>
      <c r="F224">
        <v>7811</v>
      </c>
    </row>
    <row r="225" spans="1:6" x14ac:dyDescent="0.25">
      <c r="A225" s="1">
        <v>39093</v>
      </c>
      <c r="B225">
        <v>7720</v>
      </c>
      <c r="C225">
        <v>7738</v>
      </c>
      <c r="D225">
        <v>7596</v>
      </c>
      <c r="E225">
        <v>7623</v>
      </c>
      <c r="F225">
        <v>7739.4</v>
      </c>
    </row>
    <row r="226" spans="1:6" x14ac:dyDescent="0.25">
      <c r="A226" s="1">
        <v>39094</v>
      </c>
      <c r="B226">
        <v>7688</v>
      </c>
      <c r="C226">
        <v>7795</v>
      </c>
      <c r="D226">
        <v>7686</v>
      </c>
      <c r="E226">
        <v>7789</v>
      </c>
      <c r="F226">
        <v>7731.4</v>
      </c>
    </row>
    <row r="227" spans="1:6" x14ac:dyDescent="0.25">
      <c r="A227" s="1">
        <v>39097</v>
      </c>
      <c r="B227">
        <v>7830</v>
      </c>
      <c r="C227">
        <v>7834</v>
      </c>
      <c r="D227">
        <v>7748</v>
      </c>
      <c r="E227">
        <v>7809</v>
      </c>
      <c r="F227">
        <v>7746.2</v>
      </c>
    </row>
    <row r="228" spans="1:6" x14ac:dyDescent="0.25">
      <c r="A228" s="1">
        <v>39098</v>
      </c>
      <c r="B228">
        <v>7828</v>
      </c>
      <c r="C228">
        <v>7845</v>
      </c>
      <c r="D228">
        <v>7785</v>
      </c>
      <c r="E228">
        <v>7813</v>
      </c>
      <c r="F228">
        <v>7744.8</v>
      </c>
    </row>
    <row r="229" spans="1:6" x14ac:dyDescent="0.25">
      <c r="A229" s="1">
        <v>39099</v>
      </c>
      <c r="B229">
        <v>7720</v>
      </c>
      <c r="C229">
        <v>7856</v>
      </c>
      <c r="D229">
        <v>7720</v>
      </c>
      <c r="E229">
        <v>7828</v>
      </c>
      <c r="F229">
        <v>7772.4</v>
      </c>
    </row>
    <row r="230" spans="1:6" x14ac:dyDescent="0.25">
      <c r="A230" s="1">
        <v>39100</v>
      </c>
      <c r="B230">
        <v>7864</v>
      </c>
      <c r="C230">
        <v>7930</v>
      </c>
      <c r="D230">
        <v>7841</v>
      </c>
      <c r="E230">
        <v>7930</v>
      </c>
      <c r="F230">
        <v>7833.8</v>
      </c>
    </row>
    <row r="231" spans="1:6" x14ac:dyDescent="0.25">
      <c r="A231" s="1">
        <v>39101</v>
      </c>
      <c r="B231">
        <v>7886</v>
      </c>
      <c r="C231">
        <v>7921</v>
      </c>
      <c r="D231">
        <v>7860</v>
      </c>
      <c r="E231">
        <v>7868</v>
      </c>
      <c r="F231">
        <v>7849.6</v>
      </c>
    </row>
    <row r="232" spans="1:6" x14ac:dyDescent="0.25">
      <c r="A232" s="1">
        <v>39104</v>
      </c>
      <c r="B232">
        <v>7870</v>
      </c>
      <c r="C232">
        <v>7900</v>
      </c>
      <c r="D232">
        <v>7780</v>
      </c>
      <c r="E232">
        <v>7884</v>
      </c>
      <c r="F232">
        <v>7864.6</v>
      </c>
    </row>
    <row r="233" spans="1:6" x14ac:dyDescent="0.25">
      <c r="A233" s="1">
        <v>39105</v>
      </c>
      <c r="B233">
        <v>7849</v>
      </c>
      <c r="C233">
        <v>7893</v>
      </c>
      <c r="D233">
        <v>7825</v>
      </c>
      <c r="E233">
        <v>7881</v>
      </c>
      <c r="F233">
        <v>7878.2</v>
      </c>
    </row>
    <row r="234" spans="1:6" x14ac:dyDescent="0.25">
      <c r="A234" s="1">
        <v>39106</v>
      </c>
      <c r="B234">
        <v>7947</v>
      </c>
      <c r="C234">
        <v>7995</v>
      </c>
      <c r="D234">
        <v>7935</v>
      </c>
      <c r="E234">
        <v>7990</v>
      </c>
      <c r="F234">
        <v>7910.6</v>
      </c>
    </row>
    <row r="235" spans="1:6" x14ac:dyDescent="0.25">
      <c r="A235" s="1">
        <v>39107</v>
      </c>
      <c r="B235">
        <v>8020</v>
      </c>
      <c r="C235">
        <v>8030</v>
      </c>
      <c r="D235">
        <v>7960</v>
      </c>
      <c r="E235">
        <v>7978</v>
      </c>
      <c r="F235">
        <v>7920.2</v>
      </c>
    </row>
    <row r="236" spans="1:6" x14ac:dyDescent="0.25">
      <c r="A236" s="1">
        <v>39108</v>
      </c>
      <c r="B236">
        <v>7922</v>
      </c>
      <c r="C236">
        <v>7922</v>
      </c>
      <c r="D236">
        <v>7811</v>
      </c>
      <c r="E236">
        <v>7833</v>
      </c>
      <c r="F236">
        <v>7913.2</v>
      </c>
    </row>
    <row r="237" spans="1:6" x14ac:dyDescent="0.25">
      <c r="A237" s="1">
        <v>39111</v>
      </c>
      <c r="B237">
        <v>7834</v>
      </c>
      <c r="C237">
        <v>7857</v>
      </c>
      <c r="D237">
        <v>7759</v>
      </c>
      <c r="E237">
        <v>7788</v>
      </c>
      <c r="F237">
        <v>7894</v>
      </c>
    </row>
    <row r="238" spans="1:6" x14ac:dyDescent="0.25">
      <c r="A238" s="1">
        <v>39112</v>
      </c>
      <c r="B238">
        <v>7800</v>
      </c>
      <c r="C238">
        <v>7805</v>
      </c>
      <c r="D238">
        <v>7751</v>
      </c>
      <c r="E238">
        <v>7772</v>
      </c>
      <c r="F238">
        <v>7872.2</v>
      </c>
    </row>
    <row r="239" spans="1:6" x14ac:dyDescent="0.25">
      <c r="A239" s="1">
        <v>39113</v>
      </c>
      <c r="B239">
        <v>7776</v>
      </c>
      <c r="C239">
        <v>7795</v>
      </c>
      <c r="D239">
        <v>7639</v>
      </c>
      <c r="E239">
        <v>7733</v>
      </c>
      <c r="F239">
        <v>7820.8</v>
      </c>
    </row>
    <row r="240" spans="1:6" x14ac:dyDescent="0.25">
      <c r="A240" s="1">
        <v>39114</v>
      </c>
      <c r="B240">
        <v>7777</v>
      </c>
      <c r="C240">
        <v>7785</v>
      </c>
      <c r="D240">
        <v>7692</v>
      </c>
      <c r="E240">
        <v>7741</v>
      </c>
      <c r="F240">
        <v>7773.4</v>
      </c>
    </row>
    <row r="241" spans="1:6" x14ac:dyDescent="0.25">
      <c r="A241" s="1">
        <v>39115</v>
      </c>
      <c r="B241">
        <v>7785</v>
      </c>
      <c r="C241">
        <v>7839</v>
      </c>
      <c r="D241">
        <v>7780</v>
      </c>
      <c r="E241">
        <v>7813</v>
      </c>
      <c r="F241">
        <v>7769.4</v>
      </c>
    </row>
    <row r="242" spans="1:6" x14ac:dyDescent="0.25">
      <c r="A242" s="1">
        <v>39118</v>
      </c>
      <c r="B242">
        <v>7781</v>
      </c>
      <c r="C242">
        <v>7835</v>
      </c>
      <c r="D242">
        <v>7766</v>
      </c>
      <c r="E242">
        <v>7781</v>
      </c>
      <c r="F242">
        <v>7768</v>
      </c>
    </row>
    <row r="243" spans="1:6" x14ac:dyDescent="0.25">
      <c r="A243" s="1">
        <v>39119</v>
      </c>
      <c r="B243">
        <v>7790</v>
      </c>
      <c r="C243">
        <v>7895</v>
      </c>
      <c r="D243">
        <v>7790</v>
      </c>
      <c r="E243">
        <v>7889</v>
      </c>
      <c r="F243">
        <v>7791.4</v>
      </c>
    </row>
    <row r="244" spans="1:6" x14ac:dyDescent="0.25">
      <c r="A244" s="1">
        <v>39120</v>
      </c>
      <c r="B244">
        <v>7880</v>
      </c>
      <c r="C244">
        <v>7896</v>
      </c>
      <c r="D244">
        <v>7861</v>
      </c>
      <c r="E244">
        <v>7877</v>
      </c>
      <c r="F244">
        <v>7820.2</v>
      </c>
    </row>
    <row r="245" spans="1:6" x14ac:dyDescent="0.25">
      <c r="A245" s="1">
        <v>39121</v>
      </c>
      <c r="B245">
        <v>7890</v>
      </c>
      <c r="C245">
        <v>7908</v>
      </c>
      <c r="D245">
        <v>7805</v>
      </c>
      <c r="E245">
        <v>7868</v>
      </c>
      <c r="F245">
        <v>7845.6</v>
      </c>
    </row>
    <row r="246" spans="1:6" x14ac:dyDescent="0.25">
      <c r="A246" s="1">
        <v>39122</v>
      </c>
      <c r="B246">
        <v>7865</v>
      </c>
      <c r="C246">
        <v>7920</v>
      </c>
      <c r="D246">
        <v>7844</v>
      </c>
      <c r="E246">
        <v>7885</v>
      </c>
      <c r="F246">
        <v>7860</v>
      </c>
    </row>
    <row r="247" spans="1:6" x14ac:dyDescent="0.25">
      <c r="A247" s="1">
        <v>39125</v>
      </c>
      <c r="B247">
        <v>7836</v>
      </c>
      <c r="C247">
        <v>7844</v>
      </c>
      <c r="D247">
        <v>7785</v>
      </c>
      <c r="E247">
        <v>7790</v>
      </c>
      <c r="F247">
        <v>7861.8</v>
      </c>
    </row>
    <row r="248" spans="1:6" x14ac:dyDescent="0.25">
      <c r="A248" s="1">
        <v>39126</v>
      </c>
      <c r="B248">
        <v>7785</v>
      </c>
      <c r="C248">
        <v>7830</v>
      </c>
      <c r="D248">
        <v>7742</v>
      </c>
      <c r="E248">
        <v>7752</v>
      </c>
      <c r="F248">
        <v>7834.4</v>
      </c>
    </row>
    <row r="249" spans="1:6" x14ac:dyDescent="0.25">
      <c r="A249" s="1">
        <v>39127</v>
      </c>
      <c r="B249">
        <v>7786</v>
      </c>
      <c r="C249">
        <v>7839</v>
      </c>
      <c r="D249">
        <v>7776</v>
      </c>
      <c r="E249">
        <v>7832</v>
      </c>
      <c r="F249">
        <v>7825.4</v>
      </c>
    </row>
    <row r="250" spans="1:6" x14ac:dyDescent="0.25">
      <c r="A250" s="1">
        <v>39139</v>
      </c>
      <c r="B250">
        <v>7900</v>
      </c>
      <c r="C250">
        <v>7936</v>
      </c>
      <c r="D250">
        <v>7900</v>
      </c>
      <c r="E250">
        <v>7902</v>
      </c>
      <c r="F250">
        <v>7832.2</v>
      </c>
    </row>
    <row r="251" spans="1:6" x14ac:dyDescent="0.25">
      <c r="A251" s="1">
        <v>39140</v>
      </c>
      <c r="B251">
        <v>7912</v>
      </c>
      <c r="C251">
        <v>7970</v>
      </c>
      <c r="D251">
        <v>7912</v>
      </c>
      <c r="E251">
        <v>7929</v>
      </c>
      <c r="F251">
        <v>7841</v>
      </c>
    </row>
    <row r="252" spans="1:6" x14ac:dyDescent="0.25">
      <c r="A252" s="1">
        <v>39142</v>
      </c>
      <c r="B252">
        <v>7770</v>
      </c>
      <c r="C252">
        <v>7775</v>
      </c>
      <c r="D252">
        <v>7653</v>
      </c>
      <c r="E252">
        <v>7655</v>
      </c>
      <c r="F252">
        <v>7814</v>
      </c>
    </row>
    <row r="253" spans="1:6" x14ac:dyDescent="0.25">
      <c r="A253" s="1">
        <v>39143</v>
      </c>
      <c r="B253">
        <v>7611</v>
      </c>
      <c r="C253">
        <v>7692</v>
      </c>
      <c r="D253">
        <v>7610</v>
      </c>
      <c r="E253">
        <v>7665</v>
      </c>
      <c r="F253">
        <v>7796.6</v>
      </c>
    </row>
    <row r="254" spans="1:6" x14ac:dyDescent="0.25">
      <c r="A254" s="1">
        <v>39144</v>
      </c>
      <c r="B254">
        <v>7610</v>
      </c>
      <c r="C254">
        <v>7640</v>
      </c>
      <c r="D254">
        <v>7555</v>
      </c>
      <c r="E254">
        <v>7590</v>
      </c>
      <c r="F254">
        <v>7748.2</v>
      </c>
    </row>
    <row r="255" spans="1:6" x14ac:dyDescent="0.25">
      <c r="A255" s="1">
        <v>39146</v>
      </c>
      <c r="B255">
        <v>7549</v>
      </c>
      <c r="C255">
        <v>7549</v>
      </c>
      <c r="D255">
        <v>7268</v>
      </c>
      <c r="E255">
        <v>7280</v>
      </c>
      <c r="F255">
        <v>7623.8</v>
      </c>
    </row>
    <row r="256" spans="1:6" x14ac:dyDescent="0.25">
      <c r="A256" s="1">
        <v>39147</v>
      </c>
      <c r="B256">
        <v>7319</v>
      </c>
      <c r="C256">
        <v>7422</v>
      </c>
      <c r="D256">
        <v>7319</v>
      </c>
      <c r="E256">
        <v>7415</v>
      </c>
      <c r="F256">
        <v>7521</v>
      </c>
    </row>
    <row r="257" spans="1:6" x14ac:dyDescent="0.25">
      <c r="A257" s="1">
        <v>39148</v>
      </c>
      <c r="B257">
        <v>7445</v>
      </c>
      <c r="C257">
        <v>7468</v>
      </c>
      <c r="D257">
        <v>7381</v>
      </c>
      <c r="E257">
        <v>7430</v>
      </c>
      <c r="F257">
        <v>7476</v>
      </c>
    </row>
    <row r="258" spans="1:6" x14ac:dyDescent="0.25">
      <c r="A258" s="1">
        <v>39149</v>
      </c>
      <c r="B258">
        <v>7420</v>
      </c>
      <c r="C258">
        <v>7535</v>
      </c>
      <c r="D258">
        <v>7416</v>
      </c>
      <c r="E258">
        <v>7526</v>
      </c>
      <c r="F258">
        <v>7448.2</v>
      </c>
    </row>
    <row r="259" spans="1:6" x14ac:dyDescent="0.25">
      <c r="A259" s="1">
        <v>39150</v>
      </c>
      <c r="B259">
        <v>7538</v>
      </c>
      <c r="C259">
        <v>7566</v>
      </c>
      <c r="D259">
        <v>7492</v>
      </c>
      <c r="E259">
        <v>7518</v>
      </c>
      <c r="F259">
        <v>7433.8</v>
      </c>
    </row>
    <row r="260" spans="1:6" x14ac:dyDescent="0.25">
      <c r="A260" s="1">
        <v>39153</v>
      </c>
      <c r="B260">
        <v>7540</v>
      </c>
      <c r="C260">
        <v>7594</v>
      </c>
      <c r="D260">
        <v>7540</v>
      </c>
      <c r="E260">
        <v>7593</v>
      </c>
      <c r="F260">
        <v>7496.4</v>
      </c>
    </row>
    <row r="261" spans="1:6" x14ac:dyDescent="0.25">
      <c r="A261" s="1">
        <v>39154</v>
      </c>
      <c r="B261">
        <v>7595</v>
      </c>
      <c r="C261">
        <v>7642</v>
      </c>
      <c r="D261">
        <v>7571</v>
      </c>
      <c r="E261">
        <v>7620</v>
      </c>
      <c r="F261">
        <v>7537.4</v>
      </c>
    </row>
    <row r="262" spans="1:6" x14ac:dyDescent="0.25">
      <c r="A262" s="1">
        <v>39155</v>
      </c>
      <c r="B262">
        <v>7500</v>
      </c>
      <c r="C262">
        <v>7520</v>
      </c>
      <c r="D262">
        <v>7435</v>
      </c>
      <c r="E262">
        <v>7469</v>
      </c>
      <c r="F262">
        <v>7545.2</v>
      </c>
    </row>
    <row r="263" spans="1:6" x14ac:dyDescent="0.25">
      <c r="A263" s="1">
        <v>39156</v>
      </c>
      <c r="B263">
        <v>7543</v>
      </c>
      <c r="C263">
        <v>7676</v>
      </c>
      <c r="D263">
        <v>7525</v>
      </c>
      <c r="E263">
        <v>7660</v>
      </c>
      <c r="F263">
        <v>7572</v>
      </c>
    </row>
    <row r="264" spans="1:6" x14ac:dyDescent="0.25">
      <c r="A264" s="1">
        <v>39157</v>
      </c>
      <c r="B264">
        <v>7600</v>
      </c>
      <c r="C264">
        <v>7726</v>
      </c>
      <c r="D264">
        <v>7589</v>
      </c>
      <c r="E264">
        <v>7676</v>
      </c>
      <c r="F264">
        <v>7603.6</v>
      </c>
    </row>
    <row r="265" spans="1:6" x14ac:dyDescent="0.25">
      <c r="A265" s="1">
        <v>39160</v>
      </c>
      <c r="B265">
        <v>7673</v>
      </c>
      <c r="C265">
        <v>7730</v>
      </c>
      <c r="D265">
        <v>7660</v>
      </c>
      <c r="E265">
        <v>7715</v>
      </c>
      <c r="F265">
        <v>7628</v>
      </c>
    </row>
    <row r="266" spans="1:6" x14ac:dyDescent="0.25">
      <c r="A266" s="1">
        <v>39161</v>
      </c>
      <c r="B266">
        <v>7766</v>
      </c>
      <c r="C266">
        <v>7773</v>
      </c>
      <c r="D266">
        <v>7702</v>
      </c>
      <c r="E266">
        <v>7718</v>
      </c>
      <c r="F266">
        <v>7647.6</v>
      </c>
    </row>
    <row r="267" spans="1:6" x14ac:dyDescent="0.25">
      <c r="A267" s="1">
        <v>39162</v>
      </c>
      <c r="B267">
        <v>7745</v>
      </c>
      <c r="C267">
        <v>7760</v>
      </c>
      <c r="D267">
        <v>7714</v>
      </c>
      <c r="E267">
        <v>7757</v>
      </c>
      <c r="F267">
        <v>7705.2</v>
      </c>
    </row>
    <row r="268" spans="1:6" x14ac:dyDescent="0.25">
      <c r="A268" s="1">
        <v>39163</v>
      </c>
      <c r="B268">
        <v>7804</v>
      </c>
      <c r="C268">
        <v>7855</v>
      </c>
      <c r="D268">
        <v>7803</v>
      </c>
      <c r="E268">
        <v>7825</v>
      </c>
      <c r="F268">
        <v>7738.2</v>
      </c>
    </row>
    <row r="269" spans="1:6" x14ac:dyDescent="0.25">
      <c r="A269" s="1">
        <v>39164</v>
      </c>
      <c r="B269">
        <v>7841</v>
      </c>
      <c r="C269">
        <v>7895</v>
      </c>
      <c r="D269">
        <v>7802</v>
      </c>
      <c r="E269">
        <v>7855</v>
      </c>
      <c r="F269">
        <v>7774</v>
      </c>
    </row>
    <row r="270" spans="1:6" x14ac:dyDescent="0.25">
      <c r="A270" s="1">
        <v>39167</v>
      </c>
      <c r="B270">
        <v>7865</v>
      </c>
      <c r="C270">
        <v>7890</v>
      </c>
      <c r="D270">
        <v>7845</v>
      </c>
      <c r="E270">
        <v>7885</v>
      </c>
      <c r="F270">
        <v>7808</v>
      </c>
    </row>
    <row r="271" spans="1:6" x14ac:dyDescent="0.25">
      <c r="A271" s="1">
        <v>39168</v>
      </c>
      <c r="B271">
        <v>7855</v>
      </c>
      <c r="C271">
        <v>7940</v>
      </c>
      <c r="D271">
        <v>7811</v>
      </c>
      <c r="E271">
        <v>7820</v>
      </c>
      <c r="F271">
        <v>7828.4</v>
      </c>
    </row>
    <row r="272" spans="1:6" x14ac:dyDescent="0.25">
      <c r="A272" s="1">
        <v>39169</v>
      </c>
      <c r="B272">
        <v>7800</v>
      </c>
      <c r="C272">
        <v>7832</v>
      </c>
      <c r="D272">
        <v>7736</v>
      </c>
      <c r="E272">
        <v>7751</v>
      </c>
      <c r="F272">
        <v>7827.2</v>
      </c>
    </row>
    <row r="273" spans="1:6" x14ac:dyDescent="0.25">
      <c r="A273" s="1">
        <v>39170</v>
      </c>
      <c r="B273">
        <v>7715</v>
      </c>
      <c r="C273">
        <v>7856</v>
      </c>
      <c r="D273">
        <v>7705</v>
      </c>
      <c r="E273">
        <v>7849</v>
      </c>
      <c r="F273">
        <v>7832</v>
      </c>
    </row>
    <row r="274" spans="1:6" x14ac:dyDescent="0.25">
      <c r="A274" s="1">
        <v>39171</v>
      </c>
      <c r="B274">
        <v>7852</v>
      </c>
      <c r="C274">
        <v>7878</v>
      </c>
      <c r="D274">
        <v>7794</v>
      </c>
      <c r="E274">
        <v>7835</v>
      </c>
      <c r="F274">
        <v>7828</v>
      </c>
    </row>
    <row r="275" spans="1:6" x14ac:dyDescent="0.25">
      <c r="A275" s="1">
        <v>39174</v>
      </c>
      <c r="B275">
        <v>7859</v>
      </c>
      <c r="C275">
        <v>7915</v>
      </c>
      <c r="D275">
        <v>7812</v>
      </c>
      <c r="E275">
        <v>7850</v>
      </c>
      <c r="F275">
        <v>7821</v>
      </c>
    </row>
    <row r="276" spans="1:6" x14ac:dyDescent="0.25">
      <c r="A276" s="1">
        <v>39175</v>
      </c>
      <c r="B276">
        <v>7841</v>
      </c>
      <c r="C276">
        <v>7922</v>
      </c>
      <c r="D276">
        <v>7825</v>
      </c>
      <c r="E276">
        <v>7920</v>
      </c>
      <c r="F276">
        <v>7841</v>
      </c>
    </row>
    <row r="277" spans="1:6" x14ac:dyDescent="0.25">
      <c r="A277" s="1">
        <v>39176</v>
      </c>
      <c r="B277">
        <v>7988</v>
      </c>
      <c r="C277">
        <v>8010</v>
      </c>
      <c r="D277">
        <v>7957</v>
      </c>
      <c r="E277">
        <v>8008</v>
      </c>
      <c r="F277">
        <v>7892.4</v>
      </c>
    </row>
    <row r="278" spans="1:6" x14ac:dyDescent="0.25">
      <c r="A278" s="1">
        <v>39181</v>
      </c>
      <c r="B278">
        <v>8027</v>
      </c>
      <c r="C278">
        <v>8077</v>
      </c>
      <c r="D278">
        <v>8025</v>
      </c>
      <c r="E278">
        <v>8077</v>
      </c>
      <c r="F278">
        <v>7938</v>
      </c>
    </row>
    <row r="279" spans="1:6" x14ac:dyDescent="0.25">
      <c r="A279" s="1">
        <v>39182</v>
      </c>
      <c r="B279">
        <v>8050</v>
      </c>
      <c r="C279">
        <v>8065</v>
      </c>
      <c r="D279">
        <v>8008</v>
      </c>
      <c r="E279">
        <v>8055</v>
      </c>
      <c r="F279">
        <v>7982</v>
      </c>
    </row>
    <row r="280" spans="1:6" x14ac:dyDescent="0.25">
      <c r="A280" s="1">
        <v>39183</v>
      </c>
      <c r="B280">
        <v>8058</v>
      </c>
      <c r="C280">
        <v>8107</v>
      </c>
      <c r="D280">
        <v>8044</v>
      </c>
      <c r="E280">
        <v>8095</v>
      </c>
      <c r="F280">
        <v>8031</v>
      </c>
    </row>
    <row r="281" spans="1:6" x14ac:dyDescent="0.25">
      <c r="A281" s="1">
        <v>39184</v>
      </c>
      <c r="B281">
        <v>8052</v>
      </c>
      <c r="C281">
        <v>8093</v>
      </c>
      <c r="D281">
        <v>8038</v>
      </c>
      <c r="E281">
        <v>8077</v>
      </c>
      <c r="F281">
        <v>8062.4</v>
      </c>
    </row>
    <row r="282" spans="1:6" x14ac:dyDescent="0.25">
      <c r="A282" s="1">
        <v>39185</v>
      </c>
      <c r="B282">
        <v>8100</v>
      </c>
      <c r="C282">
        <v>8107</v>
      </c>
      <c r="D282">
        <v>7972</v>
      </c>
      <c r="E282">
        <v>7983</v>
      </c>
      <c r="F282">
        <v>8057.4</v>
      </c>
    </row>
    <row r="283" spans="1:6" x14ac:dyDescent="0.25">
      <c r="A283" s="1">
        <v>39186</v>
      </c>
      <c r="B283">
        <v>8020</v>
      </c>
      <c r="C283">
        <v>8065</v>
      </c>
      <c r="D283">
        <v>8010</v>
      </c>
      <c r="E283">
        <v>8065</v>
      </c>
      <c r="F283">
        <v>8055</v>
      </c>
    </row>
    <row r="284" spans="1:6" x14ac:dyDescent="0.25">
      <c r="A284" s="1">
        <v>39188</v>
      </c>
      <c r="B284">
        <v>8072</v>
      </c>
      <c r="C284">
        <v>8095</v>
      </c>
      <c r="D284">
        <v>8023</v>
      </c>
      <c r="E284">
        <v>8060</v>
      </c>
      <c r="F284">
        <v>8056</v>
      </c>
    </row>
    <row r="285" spans="1:6" x14ac:dyDescent="0.25">
      <c r="A285" s="1">
        <v>39189</v>
      </c>
      <c r="B285">
        <v>8098</v>
      </c>
      <c r="C285">
        <v>8110</v>
      </c>
      <c r="D285">
        <v>7955</v>
      </c>
      <c r="E285">
        <v>7968</v>
      </c>
      <c r="F285">
        <v>8030.6</v>
      </c>
    </row>
    <row r="286" spans="1:6" x14ac:dyDescent="0.25">
      <c r="A286" s="1">
        <v>39190</v>
      </c>
      <c r="B286">
        <v>7971</v>
      </c>
      <c r="C286">
        <v>8013</v>
      </c>
      <c r="D286">
        <v>7946</v>
      </c>
      <c r="E286">
        <v>8010</v>
      </c>
      <c r="F286">
        <v>8017.2</v>
      </c>
    </row>
    <row r="287" spans="1:6" x14ac:dyDescent="0.25">
      <c r="A287" s="1">
        <v>39191</v>
      </c>
      <c r="B287">
        <v>7961</v>
      </c>
      <c r="C287">
        <v>7981</v>
      </c>
      <c r="D287">
        <v>7826</v>
      </c>
      <c r="E287">
        <v>7840</v>
      </c>
      <c r="F287">
        <v>7988.6</v>
      </c>
    </row>
    <row r="288" spans="1:6" x14ac:dyDescent="0.25">
      <c r="A288" s="1">
        <v>39192</v>
      </c>
      <c r="B288">
        <v>7880</v>
      </c>
      <c r="C288">
        <v>7910</v>
      </c>
      <c r="D288">
        <v>7868</v>
      </c>
      <c r="E288">
        <v>7886</v>
      </c>
      <c r="F288">
        <v>7952.8</v>
      </c>
    </row>
    <row r="289" spans="1:6" x14ac:dyDescent="0.25">
      <c r="A289" s="1">
        <v>39195</v>
      </c>
      <c r="B289">
        <v>7966</v>
      </c>
      <c r="C289">
        <v>8060</v>
      </c>
      <c r="D289">
        <v>7966</v>
      </c>
      <c r="E289">
        <v>8020</v>
      </c>
      <c r="F289">
        <v>7944.8</v>
      </c>
    </row>
    <row r="290" spans="1:6" x14ac:dyDescent="0.25">
      <c r="A290" s="1">
        <v>39196</v>
      </c>
      <c r="B290">
        <v>8010</v>
      </c>
      <c r="C290">
        <v>8045</v>
      </c>
      <c r="D290">
        <v>7968</v>
      </c>
      <c r="E290">
        <v>8040</v>
      </c>
      <c r="F290">
        <v>7959.2</v>
      </c>
    </row>
    <row r="291" spans="1:6" x14ac:dyDescent="0.25">
      <c r="A291" s="1">
        <v>39197</v>
      </c>
      <c r="B291">
        <v>7995</v>
      </c>
      <c r="C291">
        <v>8008</v>
      </c>
      <c r="D291">
        <v>7952</v>
      </c>
      <c r="E291">
        <v>7963</v>
      </c>
      <c r="F291">
        <v>7949.8</v>
      </c>
    </row>
    <row r="292" spans="1:6" x14ac:dyDescent="0.25">
      <c r="A292" s="1">
        <v>39198</v>
      </c>
      <c r="B292">
        <v>8040</v>
      </c>
      <c r="C292">
        <v>8044</v>
      </c>
      <c r="D292">
        <v>7970</v>
      </c>
      <c r="E292">
        <v>7999</v>
      </c>
      <c r="F292">
        <v>7981.6</v>
      </c>
    </row>
    <row r="293" spans="1:6" x14ac:dyDescent="0.25">
      <c r="A293" s="1">
        <v>39199</v>
      </c>
      <c r="B293">
        <v>7995</v>
      </c>
      <c r="C293">
        <v>8020</v>
      </c>
      <c r="D293">
        <v>7922</v>
      </c>
      <c r="E293">
        <v>7946</v>
      </c>
      <c r="F293">
        <v>7993.6</v>
      </c>
    </row>
    <row r="294" spans="1:6" x14ac:dyDescent="0.25">
      <c r="A294" s="1">
        <v>39202</v>
      </c>
      <c r="B294">
        <v>7930</v>
      </c>
      <c r="C294">
        <v>7936</v>
      </c>
      <c r="D294">
        <v>7824</v>
      </c>
      <c r="E294">
        <v>7858</v>
      </c>
      <c r="F294">
        <v>7961.2</v>
      </c>
    </row>
    <row r="295" spans="1:6" x14ac:dyDescent="0.25">
      <c r="A295" s="1">
        <v>39204</v>
      </c>
      <c r="B295">
        <v>7864</v>
      </c>
      <c r="C295">
        <v>7922</v>
      </c>
      <c r="D295">
        <v>7851</v>
      </c>
      <c r="E295">
        <v>7895</v>
      </c>
      <c r="F295">
        <v>7932.2</v>
      </c>
    </row>
    <row r="296" spans="1:6" x14ac:dyDescent="0.25">
      <c r="A296" s="1">
        <v>39205</v>
      </c>
      <c r="B296">
        <v>7938</v>
      </c>
      <c r="C296">
        <v>7958</v>
      </c>
      <c r="D296">
        <v>7843</v>
      </c>
      <c r="E296">
        <v>7930</v>
      </c>
      <c r="F296">
        <v>7925.6</v>
      </c>
    </row>
    <row r="297" spans="1:6" x14ac:dyDescent="0.25">
      <c r="A297" s="1">
        <v>39206</v>
      </c>
      <c r="B297">
        <v>7950</v>
      </c>
      <c r="C297">
        <v>8080</v>
      </c>
      <c r="D297">
        <v>7950</v>
      </c>
      <c r="E297">
        <v>8062</v>
      </c>
      <c r="F297">
        <v>7938.2</v>
      </c>
    </row>
    <row r="298" spans="1:6" x14ac:dyDescent="0.25">
      <c r="A298" s="1">
        <v>39209</v>
      </c>
      <c r="B298">
        <v>8092</v>
      </c>
      <c r="C298">
        <v>8134</v>
      </c>
      <c r="D298">
        <v>8080</v>
      </c>
      <c r="E298">
        <v>8119</v>
      </c>
      <c r="F298">
        <v>7972.8</v>
      </c>
    </row>
    <row r="299" spans="1:6" x14ac:dyDescent="0.25">
      <c r="A299" s="1">
        <v>39210</v>
      </c>
      <c r="B299">
        <v>8114</v>
      </c>
      <c r="C299">
        <v>8124</v>
      </c>
      <c r="D299">
        <v>8066</v>
      </c>
      <c r="E299">
        <v>8071</v>
      </c>
      <c r="F299">
        <v>8015.4</v>
      </c>
    </row>
    <row r="300" spans="1:6" x14ac:dyDescent="0.25">
      <c r="A300" s="1">
        <v>39211</v>
      </c>
      <c r="B300">
        <v>8080</v>
      </c>
      <c r="C300">
        <v>8095</v>
      </c>
      <c r="D300">
        <v>8043</v>
      </c>
      <c r="E300">
        <v>8071</v>
      </c>
      <c r="F300">
        <v>8050.6</v>
      </c>
    </row>
    <row r="301" spans="1:6" x14ac:dyDescent="0.25">
      <c r="A301" s="1">
        <v>39212</v>
      </c>
      <c r="B301">
        <v>8095</v>
      </c>
      <c r="C301">
        <v>8114</v>
      </c>
      <c r="D301">
        <v>8071</v>
      </c>
      <c r="E301">
        <v>8106</v>
      </c>
      <c r="F301">
        <v>8085.8</v>
      </c>
    </row>
    <row r="302" spans="1:6" x14ac:dyDescent="0.25">
      <c r="A302" s="1">
        <v>39213</v>
      </c>
      <c r="B302">
        <v>8030</v>
      </c>
      <c r="C302">
        <v>8043</v>
      </c>
      <c r="D302">
        <v>8005</v>
      </c>
      <c r="E302">
        <v>8026</v>
      </c>
      <c r="F302">
        <v>8078.6</v>
      </c>
    </row>
    <row r="303" spans="1:6" x14ac:dyDescent="0.25">
      <c r="A303" s="1">
        <v>39216</v>
      </c>
      <c r="B303">
        <v>8070</v>
      </c>
      <c r="C303">
        <v>8084</v>
      </c>
      <c r="D303">
        <v>8021</v>
      </c>
      <c r="E303">
        <v>8043</v>
      </c>
      <c r="F303">
        <v>8063.4</v>
      </c>
    </row>
    <row r="304" spans="1:6" x14ac:dyDescent="0.25">
      <c r="A304" s="1">
        <v>39217</v>
      </c>
      <c r="B304">
        <v>8033</v>
      </c>
      <c r="C304">
        <v>8038</v>
      </c>
      <c r="D304">
        <v>7951</v>
      </c>
      <c r="E304">
        <v>7966</v>
      </c>
      <c r="F304">
        <v>8042.4</v>
      </c>
    </row>
    <row r="305" spans="1:6" x14ac:dyDescent="0.25">
      <c r="A305" s="1">
        <v>39218</v>
      </c>
      <c r="B305">
        <v>7957</v>
      </c>
      <c r="C305">
        <v>7995</v>
      </c>
      <c r="D305">
        <v>7957</v>
      </c>
      <c r="E305">
        <v>7990</v>
      </c>
      <c r="F305">
        <v>8026.2</v>
      </c>
    </row>
    <row r="306" spans="1:6" x14ac:dyDescent="0.25">
      <c r="A306" s="1">
        <v>39219</v>
      </c>
      <c r="B306">
        <v>8000</v>
      </c>
      <c r="C306">
        <v>8057</v>
      </c>
      <c r="D306">
        <v>7999</v>
      </c>
      <c r="E306">
        <v>8018</v>
      </c>
      <c r="F306">
        <v>8008.6</v>
      </c>
    </row>
    <row r="307" spans="1:6" x14ac:dyDescent="0.25">
      <c r="A307" s="1">
        <v>39220</v>
      </c>
      <c r="B307">
        <v>8015</v>
      </c>
      <c r="C307">
        <v>8037</v>
      </c>
      <c r="D307">
        <v>7971</v>
      </c>
      <c r="E307">
        <v>8029</v>
      </c>
      <c r="F307">
        <v>8009.2</v>
      </c>
    </row>
    <row r="308" spans="1:6" x14ac:dyDescent="0.25">
      <c r="A308" s="1">
        <v>39223</v>
      </c>
      <c r="B308">
        <v>8050</v>
      </c>
      <c r="C308">
        <v>8138</v>
      </c>
      <c r="D308">
        <v>8015</v>
      </c>
      <c r="E308">
        <v>8121</v>
      </c>
      <c r="F308">
        <v>8024.8</v>
      </c>
    </row>
    <row r="309" spans="1:6" x14ac:dyDescent="0.25">
      <c r="A309" s="1">
        <v>39224</v>
      </c>
      <c r="B309">
        <v>8122</v>
      </c>
      <c r="C309">
        <v>8178</v>
      </c>
      <c r="D309">
        <v>8117</v>
      </c>
      <c r="E309">
        <v>8171</v>
      </c>
      <c r="F309">
        <v>8065.8</v>
      </c>
    </row>
    <row r="310" spans="1:6" x14ac:dyDescent="0.25">
      <c r="A310" s="1">
        <v>39225</v>
      </c>
      <c r="B310">
        <v>8180</v>
      </c>
      <c r="C310">
        <v>8220.0010000000002</v>
      </c>
      <c r="D310">
        <v>8176</v>
      </c>
      <c r="E310">
        <v>8203.0010000000002</v>
      </c>
      <c r="F310">
        <v>8108.4</v>
      </c>
    </row>
    <row r="311" spans="1:6" x14ac:dyDescent="0.25">
      <c r="A311" s="1">
        <v>39226</v>
      </c>
      <c r="B311">
        <v>8195</v>
      </c>
      <c r="C311">
        <v>8211</v>
      </c>
      <c r="D311">
        <v>8164</v>
      </c>
      <c r="E311">
        <v>8177</v>
      </c>
      <c r="F311">
        <v>8140.2</v>
      </c>
    </row>
    <row r="312" spans="1:6" x14ac:dyDescent="0.25">
      <c r="A312" s="1">
        <v>39227</v>
      </c>
      <c r="B312">
        <v>8115</v>
      </c>
      <c r="C312">
        <v>8140</v>
      </c>
      <c r="D312">
        <v>8095</v>
      </c>
      <c r="E312">
        <v>8137</v>
      </c>
      <c r="F312">
        <v>8161.8</v>
      </c>
    </row>
    <row r="313" spans="1:6" x14ac:dyDescent="0.25">
      <c r="A313" s="1">
        <v>39230</v>
      </c>
      <c r="B313">
        <v>8168</v>
      </c>
      <c r="C313">
        <v>8174</v>
      </c>
      <c r="D313">
        <v>8143</v>
      </c>
      <c r="E313">
        <v>8154</v>
      </c>
      <c r="F313">
        <v>8168.4</v>
      </c>
    </row>
    <row r="314" spans="1:6" x14ac:dyDescent="0.25">
      <c r="A314" s="1">
        <v>39231</v>
      </c>
      <c r="B314">
        <v>8154</v>
      </c>
      <c r="C314">
        <v>8207</v>
      </c>
      <c r="D314">
        <v>8125</v>
      </c>
      <c r="E314">
        <v>8166</v>
      </c>
      <c r="F314">
        <v>8167.4</v>
      </c>
    </row>
    <row r="315" spans="1:6" x14ac:dyDescent="0.25">
      <c r="A315" s="1">
        <v>39232</v>
      </c>
      <c r="B315">
        <v>8160</v>
      </c>
      <c r="C315">
        <v>8166</v>
      </c>
      <c r="D315">
        <v>8073</v>
      </c>
      <c r="E315">
        <v>8101</v>
      </c>
      <c r="F315">
        <v>8147</v>
      </c>
    </row>
    <row r="316" spans="1:6" x14ac:dyDescent="0.25">
      <c r="A316" s="1">
        <v>39233</v>
      </c>
      <c r="B316">
        <v>8186</v>
      </c>
      <c r="C316">
        <v>8199</v>
      </c>
      <c r="D316">
        <v>8145</v>
      </c>
      <c r="E316">
        <v>8170</v>
      </c>
      <c r="F316">
        <v>8145.6</v>
      </c>
    </row>
    <row r="317" spans="1:6" x14ac:dyDescent="0.25">
      <c r="A317" s="1">
        <v>39234</v>
      </c>
      <c r="B317">
        <v>8200</v>
      </c>
      <c r="C317">
        <v>8252</v>
      </c>
      <c r="D317">
        <v>8200</v>
      </c>
      <c r="E317">
        <v>8235</v>
      </c>
      <c r="F317">
        <v>8165.2</v>
      </c>
    </row>
    <row r="318" spans="1:6" x14ac:dyDescent="0.25">
      <c r="A318" s="1">
        <v>39237</v>
      </c>
      <c r="B318">
        <v>8260</v>
      </c>
      <c r="C318">
        <v>8288</v>
      </c>
      <c r="D318">
        <v>8238</v>
      </c>
      <c r="E318">
        <v>8256</v>
      </c>
      <c r="F318">
        <v>8185.6</v>
      </c>
    </row>
    <row r="319" spans="1:6" x14ac:dyDescent="0.25">
      <c r="A319" s="1">
        <v>39238</v>
      </c>
      <c r="B319">
        <v>8250</v>
      </c>
      <c r="C319">
        <v>8270</v>
      </c>
      <c r="D319">
        <v>8218</v>
      </c>
      <c r="E319">
        <v>8253</v>
      </c>
      <c r="F319">
        <v>8203</v>
      </c>
    </row>
    <row r="320" spans="1:6" x14ac:dyDescent="0.25">
      <c r="A320" s="1">
        <v>39239</v>
      </c>
      <c r="B320">
        <v>8238</v>
      </c>
      <c r="C320">
        <v>8332</v>
      </c>
      <c r="D320">
        <v>8236</v>
      </c>
      <c r="E320">
        <v>8283</v>
      </c>
      <c r="F320">
        <v>8239.4</v>
      </c>
    </row>
    <row r="321" spans="1:6" x14ac:dyDescent="0.25">
      <c r="A321" s="1">
        <v>39240</v>
      </c>
      <c r="B321">
        <v>8234</v>
      </c>
      <c r="C321">
        <v>8337</v>
      </c>
      <c r="D321">
        <v>8214</v>
      </c>
      <c r="E321">
        <v>8335</v>
      </c>
      <c r="F321">
        <v>8272.4</v>
      </c>
    </row>
    <row r="322" spans="1:6" x14ac:dyDescent="0.25">
      <c r="A322" s="1">
        <v>39241</v>
      </c>
      <c r="B322">
        <v>8250</v>
      </c>
      <c r="C322">
        <v>8286</v>
      </c>
      <c r="D322">
        <v>8225</v>
      </c>
      <c r="E322">
        <v>8280</v>
      </c>
      <c r="F322">
        <v>8281.4</v>
      </c>
    </row>
    <row r="323" spans="1:6" x14ac:dyDescent="0.25">
      <c r="A323" s="1">
        <v>39244</v>
      </c>
      <c r="B323">
        <v>8311</v>
      </c>
      <c r="C323">
        <v>8325</v>
      </c>
      <c r="D323">
        <v>8293</v>
      </c>
      <c r="E323">
        <v>8310</v>
      </c>
      <c r="F323">
        <v>8292.2000000000007</v>
      </c>
    </row>
    <row r="324" spans="1:6" x14ac:dyDescent="0.25">
      <c r="A324" s="1">
        <v>39245</v>
      </c>
      <c r="B324">
        <v>8307</v>
      </c>
      <c r="C324">
        <v>8350</v>
      </c>
      <c r="D324">
        <v>8306</v>
      </c>
      <c r="E324">
        <v>8336</v>
      </c>
      <c r="F324">
        <v>8308.7999999999993</v>
      </c>
    </row>
    <row r="325" spans="1:6" x14ac:dyDescent="0.25">
      <c r="A325" s="1">
        <v>39246</v>
      </c>
      <c r="B325">
        <v>8310</v>
      </c>
      <c r="C325">
        <v>8352</v>
      </c>
      <c r="D325">
        <v>8304</v>
      </c>
      <c r="E325">
        <v>8333</v>
      </c>
      <c r="F325">
        <v>8318.7999999999993</v>
      </c>
    </row>
    <row r="326" spans="1:6" x14ac:dyDescent="0.25">
      <c r="A326" s="1">
        <v>39247</v>
      </c>
      <c r="B326">
        <v>8398</v>
      </c>
      <c r="C326">
        <v>8455</v>
      </c>
      <c r="D326">
        <v>8384</v>
      </c>
      <c r="E326">
        <v>8455</v>
      </c>
      <c r="F326">
        <v>8342.7999999999993</v>
      </c>
    </row>
    <row r="327" spans="1:6" x14ac:dyDescent="0.25">
      <c r="A327" s="1">
        <v>39248</v>
      </c>
      <c r="B327">
        <v>8465</v>
      </c>
      <c r="C327">
        <v>8619</v>
      </c>
      <c r="D327">
        <v>8462</v>
      </c>
      <c r="E327">
        <v>8619</v>
      </c>
      <c r="F327">
        <v>8410.6</v>
      </c>
    </row>
    <row r="328" spans="1:6" x14ac:dyDescent="0.25">
      <c r="A328" s="1">
        <v>39253</v>
      </c>
      <c r="B328">
        <v>8716</v>
      </c>
      <c r="C328">
        <v>8824</v>
      </c>
      <c r="D328">
        <v>8622</v>
      </c>
      <c r="E328">
        <v>8824</v>
      </c>
      <c r="F328">
        <v>8513.4</v>
      </c>
    </row>
    <row r="329" spans="1:6" x14ac:dyDescent="0.25">
      <c r="A329" s="1">
        <v>39254</v>
      </c>
      <c r="B329">
        <v>8737</v>
      </c>
      <c r="C329">
        <v>8897</v>
      </c>
      <c r="D329">
        <v>8691</v>
      </c>
      <c r="E329">
        <v>8863</v>
      </c>
      <c r="F329">
        <v>8618.7999999999993</v>
      </c>
    </row>
    <row r="330" spans="1:6" x14ac:dyDescent="0.25">
      <c r="A330" s="1">
        <v>39255</v>
      </c>
      <c r="B330">
        <v>8890</v>
      </c>
      <c r="C330">
        <v>8890</v>
      </c>
      <c r="D330">
        <v>8782</v>
      </c>
      <c r="E330">
        <v>8824</v>
      </c>
      <c r="F330">
        <v>8717</v>
      </c>
    </row>
    <row r="331" spans="1:6" x14ac:dyDescent="0.25">
      <c r="A331" s="1">
        <v>39256</v>
      </c>
      <c r="B331">
        <v>8773</v>
      </c>
      <c r="C331">
        <v>8797</v>
      </c>
      <c r="D331">
        <v>8766</v>
      </c>
      <c r="E331">
        <v>8775</v>
      </c>
      <c r="F331">
        <v>8781</v>
      </c>
    </row>
    <row r="332" spans="1:6" x14ac:dyDescent="0.25">
      <c r="A332" s="1">
        <v>39258</v>
      </c>
      <c r="B332">
        <v>8799</v>
      </c>
      <c r="C332">
        <v>8965</v>
      </c>
      <c r="D332">
        <v>8785</v>
      </c>
      <c r="E332">
        <v>8903</v>
      </c>
      <c r="F332">
        <v>8837.7999999999993</v>
      </c>
    </row>
    <row r="333" spans="1:6" x14ac:dyDescent="0.25">
      <c r="A333" s="1">
        <v>39259</v>
      </c>
      <c r="B333">
        <v>8890</v>
      </c>
      <c r="C333">
        <v>8937</v>
      </c>
      <c r="D333">
        <v>8810</v>
      </c>
      <c r="E333">
        <v>8841</v>
      </c>
      <c r="F333">
        <v>8841.2000000000007</v>
      </c>
    </row>
    <row r="334" spans="1:6" x14ac:dyDescent="0.25">
      <c r="A334" s="1">
        <v>39260</v>
      </c>
      <c r="B334">
        <v>8807</v>
      </c>
      <c r="C334">
        <v>8854</v>
      </c>
      <c r="D334">
        <v>8755</v>
      </c>
      <c r="E334">
        <v>8780</v>
      </c>
      <c r="F334">
        <v>8824.6</v>
      </c>
    </row>
    <row r="335" spans="1:6" x14ac:dyDescent="0.25">
      <c r="A335" s="1">
        <v>39261</v>
      </c>
      <c r="B335">
        <v>8826</v>
      </c>
      <c r="C335">
        <v>8860</v>
      </c>
      <c r="D335">
        <v>8791</v>
      </c>
      <c r="E335">
        <v>8835</v>
      </c>
      <c r="F335">
        <v>8826.7999999999993</v>
      </c>
    </row>
    <row r="336" spans="1:6" x14ac:dyDescent="0.25">
      <c r="A336" s="1">
        <v>39262</v>
      </c>
      <c r="B336">
        <v>8861</v>
      </c>
      <c r="C336">
        <v>8887</v>
      </c>
      <c r="D336">
        <v>8777</v>
      </c>
      <c r="E336">
        <v>8813</v>
      </c>
      <c r="F336">
        <v>8834.4</v>
      </c>
    </row>
    <row r="337" spans="1:6" x14ac:dyDescent="0.25">
      <c r="A337" s="1">
        <v>39265</v>
      </c>
      <c r="B337">
        <v>8800</v>
      </c>
      <c r="C337">
        <v>8896</v>
      </c>
      <c r="D337">
        <v>8755</v>
      </c>
      <c r="E337">
        <v>8894</v>
      </c>
      <c r="F337">
        <v>8832.6</v>
      </c>
    </row>
    <row r="338" spans="1:6" x14ac:dyDescent="0.25">
      <c r="A338" s="1">
        <v>39266</v>
      </c>
      <c r="B338">
        <v>8950</v>
      </c>
      <c r="C338">
        <v>8994</v>
      </c>
      <c r="D338">
        <v>8945</v>
      </c>
      <c r="E338">
        <v>8971</v>
      </c>
      <c r="F338">
        <v>8858.6</v>
      </c>
    </row>
    <row r="339" spans="1:6" x14ac:dyDescent="0.25">
      <c r="A339" s="1">
        <v>39267</v>
      </c>
      <c r="B339">
        <v>9002</v>
      </c>
      <c r="C339">
        <v>9088</v>
      </c>
      <c r="D339">
        <v>9002</v>
      </c>
      <c r="E339">
        <v>9050</v>
      </c>
      <c r="F339">
        <v>8912.6</v>
      </c>
    </row>
    <row r="340" spans="1:6" x14ac:dyDescent="0.25">
      <c r="A340" s="1">
        <v>39268</v>
      </c>
      <c r="B340">
        <v>9085</v>
      </c>
      <c r="C340">
        <v>9123</v>
      </c>
      <c r="D340">
        <v>9050</v>
      </c>
      <c r="E340">
        <v>9123</v>
      </c>
      <c r="F340">
        <v>8970.2000000000007</v>
      </c>
    </row>
    <row r="341" spans="1:6" x14ac:dyDescent="0.25">
      <c r="A341" s="1">
        <v>39269</v>
      </c>
      <c r="B341">
        <v>9111</v>
      </c>
      <c r="C341">
        <v>9147</v>
      </c>
      <c r="D341">
        <v>9065</v>
      </c>
      <c r="E341">
        <v>9138</v>
      </c>
      <c r="F341">
        <v>9035.2000000000007</v>
      </c>
    </row>
    <row r="342" spans="1:6" x14ac:dyDescent="0.25">
      <c r="A342" s="1">
        <v>39272</v>
      </c>
      <c r="B342">
        <v>9180</v>
      </c>
      <c r="C342">
        <v>9386</v>
      </c>
      <c r="D342">
        <v>9178</v>
      </c>
      <c r="E342">
        <v>9380</v>
      </c>
      <c r="F342">
        <v>9132.4</v>
      </c>
    </row>
    <row r="343" spans="1:6" x14ac:dyDescent="0.25">
      <c r="A343" s="1">
        <v>39273</v>
      </c>
      <c r="B343">
        <v>9399</v>
      </c>
      <c r="C343">
        <v>9399</v>
      </c>
      <c r="D343">
        <v>9305</v>
      </c>
      <c r="E343">
        <v>9335</v>
      </c>
      <c r="F343">
        <v>9205.2000000000007</v>
      </c>
    </row>
    <row r="344" spans="1:6" x14ac:dyDescent="0.25">
      <c r="A344" s="1">
        <v>39274</v>
      </c>
      <c r="B344">
        <v>9270</v>
      </c>
      <c r="C344">
        <v>9298</v>
      </c>
      <c r="D344">
        <v>9220</v>
      </c>
      <c r="E344">
        <v>9220</v>
      </c>
      <c r="F344">
        <v>9239.2000000000007</v>
      </c>
    </row>
    <row r="345" spans="1:6" x14ac:dyDescent="0.25">
      <c r="A345" s="1">
        <v>39275</v>
      </c>
      <c r="B345">
        <v>9274</v>
      </c>
      <c r="C345">
        <v>9375</v>
      </c>
      <c r="D345">
        <v>9270</v>
      </c>
      <c r="E345">
        <v>9328</v>
      </c>
      <c r="F345">
        <v>9280.2000000000007</v>
      </c>
    </row>
    <row r="346" spans="1:6" x14ac:dyDescent="0.25">
      <c r="A346" s="1">
        <v>39276</v>
      </c>
      <c r="B346">
        <v>9500</v>
      </c>
      <c r="C346">
        <v>9505</v>
      </c>
      <c r="D346">
        <v>9415</v>
      </c>
      <c r="E346">
        <v>9462</v>
      </c>
      <c r="F346">
        <v>9345</v>
      </c>
    </row>
    <row r="347" spans="1:6" x14ac:dyDescent="0.25">
      <c r="A347" s="1">
        <v>39279</v>
      </c>
      <c r="B347">
        <v>9470</v>
      </c>
      <c r="C347">
        <v>9509</v>
      </c>
      <c r="D347">
        <v>9371</v>
      </c>
      <c r="E347">
        <v>9373</v>
      </c>
      <c r="F347">
        <v>9343.6</v>
      </c>
    </row>
    <row r="348" spans="1:6" x14ac:dyDescent="0.25">
      <c r="A348" s="1">
        <v>39280</v>
      </c>
      <c r="B348">
        <v>9390</v>
      </c>
      <c r="C348">
        <v>9536</v>
      </c>
      <c r="D348">
        <v>9325</v>
      </c>
      <c r="E348">
        <v>9527</v>
      </c>
      <c r="F348">
        <v>9382</v>
      </c>
    </row>
    <row r="349" spans="1:6" x14ac:dyDescent="0.25">
      <c r="A349" s="1">
        <v>39281</v>
      </c>
      <c r="B349">
        <v>9486</v>
      </c>
      <c r="C349">
        <v>9554</v>
      </c>
      <c r="D349">
        <v>9440</v>
      </c>
      <c r="E349">
        <v>9484</v>
      </c>
      <c r="F349">
        <v>9434.7999999999993</v>
      </c>
    </row>
    <row r="350" spans="1:6" x14ac:dyDescent="0.25">
      <c r="A350" s="1">
        <v>39282</v>
      </c>
      <c r="B350">
        <v>9421</v>
      </c>
      <c r="C350">
        <v>9460</v>
      </c>
      <c r="D350">
        <v>9366</v>
      </c>
      <c r="E350">
        <v>9416</v>
      </c>
      <c r="F350">
        <v>9452.4</v>
      </c>
    </row>
    <row r="351" spans="1:6" x14ac:dyDescent="0.25">
      <c r="A351" s="1">
        <v>39283</v>
      </c>
      <c r="B351">
        <v>9455</v>
      </c>
      <c r="C351">
        <v>9545</v>
      </c>
      <c r="D351">
        <v>9435</v>
      </c>
      <c r="E351">
        <v>9540</v>
      </c>
      <c r="F351">
        <v>9468</v>
      </c>
    </row>
    <row r="352" spans="1:6" x14ac:dyDescent="0.25">
      <c r="A352" s="1">
        <v>39286</v>
      </c>
      <c r="B352">
        <v>9500</v>
      </c>
      <c r="C352">
        <v>9568</v>
      </c>
      <c r="D352">
        <v>9490</v>
      </c>
      <c r="E352">
        <v>9555</v>
      </c>
      <c r="F352">
        <v>9504.4</v>
      </c>
    </row>
    <row r="353" spans="1:6" x14ac:dyDescent="0.25">
      <c r="A353" s="1">
        <v>39287</v>
      </c>
      <c r="B353">
        <v>9568</v>
      </c>
      <c r="C353">
        <v>9699</v>
      </c>
      <c r="D353">
        <v>9536</v>
      </c>
      <c r="E353">
        <v>9670</v>
      </c>
      <c r="F353">
        <v>9533</v>
      </c>
    </row>
    <row r="354" spans="1:6" x14ac:dyDescent="0.25">
      <c r="A354" s="1">
        <v>39288</v>
      </c>
      <c r="B354">
        <v>9608</v>
      </c>
      <c r="C354">
        <v>9754</v>
      </c>
      <c r="D354">
        <v>9598</v>
      </c>
      <c r="E354">
        <v>9735</v>
      </c>
      <c r="F354">
        <v>9583.2000000000007</v>
      </c>
    </row>
    <row r="355" spans="1:6" x14ac:dyDescent="0.25">
      <c r="A355" s="1">
        <v>39289</v>
      </c>
      <c r="B355">
        <v>9747</v>
      </c>
      <c r="C355">
        <v>9827</v>
      </c>
      <c r="D355">
        <v>9526</v>
      </c>
      <c r="E355">
        <v>9545</v>
      </c>
      <c r="F355">
        <v>9609</v>
      </c>
    </row>
    <row r="356" spans="1:6" x14ac:dyDescent="0.25">
      <c r="A356" s="1">
        <v>39290</v>
      </c>
      <c r="B356">
        <v>9350</v>
      </c>
      <c r="C356">
        <v>9359</v>
      </c>
      <c r="D356">
        <v>8913</v>
      </c>
      <c r="E356">
        <v>8982</v>
      </c>
      <c r="F356">
        <v>9497.4</v>
      </c>
    </row>
    <row r="357" spans="1:6" x14ac:dyDescent="0.25">
      <c r="A357" s="1">
        <v>39293</v>
      </c>
      <c r="B357">
        <v>8881</v>
      </c>
      <c r="C357">
        <v>9035</v>
      </c>
      <c r="D357">
        <v>8860</v>
      </c>
      <c r="E357">
        <v>9000</v>
      </c>
      <c r="F357">
        <v>9386.4</v>
      </c>
    </row>
    <row r="358" spans="1:6" x14ac:dyDescent="0.25">
      <c r="A358" s="1">
        <v>39294</v>
      </c>
      <c r="B358">
        <v>9025</v>
      </c>
      <c r="C358">
        <v>9203</v>
      </c>
      <c r="D358">
        <v>9010</v>
      </c>
      <c r="E358">
        <v>9180</v>
      </c>
      <c r="F358">
        <v>9288.4</v>
      </c>
    </row>
    <row r="359" spans="1:6" x14ac:dyDescent="0.25">
      <c r="A359" s="1">
        <v>39295</v>
      </c>
      <c r="B359">
        <v>9056</v>
      </c>
      <c r="C359">
        <v>9130</v>
      </c>
      <c r="D359">
        <v>8643</v>
      </c>
      <c r="E359">
        <v>8690</v>
      </c>
      <c r="F359">
        <v>9079.4</v>
      </c>
    </row>
    <row r="360" spans="1:6" x14ac:dyDescent="0.25">
      <c r="A360" s="1">
        <v>39296</v>
      </c>
      <c r="B360">
        <v>8873</v>
      </c>
      <c r="C360">
        <v>8940</v>
      </c>
      <c r="D360">
        <v>8566</v>
      </c>
      <c r="E360">
        <v>8881</v>
      </c>
      <c r="F360">
        <v>8946.6</v>
      </c>
    </row>
    <row r="361" spans="1:6" x14ac:dyDescent="0.25">
      <c r="A361" s="1">
        <v>39297</v>
      </c>
      <c r="B361">
        <v>8973</v>
      </c>
      <c r="C361">
        <v>9039</v>
      </c>
      <c r="D361">
        <v>8901</v>
      </c>
      <c r="E361">
        <v>8980</v>
      </c>
      <c r="F361">
        <v>8946.2000000000007</v>
      </c>
    </row>
    <row r="362" spans="1:6" x14ac:dyDescent="0.25">
      <c r="A362" s="1">
        <v>39300</v>
      </c>
      <c r="B362">
        <v>8733</v>
      </c>
      <c r="C362">
        <v>8900</v>
      </c>
      <c r="D362">
        <v>8688</v>
      </c>
      <c r="E362">
        <v>8880</v>
      </c>
      <c r="F362">
        <v>8922.2000000000007</v>
      </c>
    </row>
    <row r="363" spans="1:6" x14ac:dyDescent="0.25">
      <c r="A363" s="1">
        <v>39301</v>
      </c>
      <c r="B363">
        <v>9000</v>
      </c>
      <c r="C363">
        <v>9009</v>
      </c>
      <c r="D363">
        <v>8770</v>
      </c>
      <c r="E363">
        <v>8773</v>
      </c>
      <c r="F363">
        <v>8840.7999999999993</v>
      </c>
    </row>
    <row r="364" spans="1:6" x14ac:dyDescent="0.25">
      <c r="A364" s="1">
        <v>39302</v>
      </c>
      <c r="B364">
        <v>8850</v>
      </c>
      <c r="C364">
        <v>9087</v>
      </c>
      <c r="D364">
        <v>8841</v>
      </c>
      <c r="E364">
        <v>9083</v>
      </c>
      <c r="F364">
        <v>8919.4</v>
      </c>
    </row>
    <row r="365" spans="1:6" x14ac:dyDescent="0.25">
      <c r="A365" s="1">
        <v>39303</v>
      </c>
      <c r="B365">
        <v>9200</v>
      </c>
      <c r="C365">
        <v>9200</v>
      </c>
      <c r="D365">
        <v>9078</v>
      </c>
      <c r="E365">
        <v>9120</v>
      </c>
      <c r="F365">
        <v>8967.2000000000007</v>
      </c>
    </row>
    <row r="366" spans="1:6" x14ac:dyDescent="0.25">
      <c r="A366" s="1">
        <v>39304</v>
      </c>
      <c r="B366">
        <v>8850</v>
      </c>
      <c r="C366">
        <v>8900</v>
      </c>
      <c r="D366">
        <v>8730</v>
      </c>
      <c r="E366">
        <v>8799</v>
      </c>
      <c r="F366">
        <v>8931</v>
      </c>
    </row>
    <row r="367" spans="1:6" x14ac:dyDescent="0.25">
      <c r="A367" s="1">
        <v>39307</v>
      </c>
      <c r="B367">
        <v>8873</v>
      </c>
      <c r="C367">
        <v>8960</v>
      </c>
      <c r="D367">
        <v>8841</v>
      </c>
      <c r="E367">
        <v>8925</v>
      </c>
      <c r="F367">
        <v>8940</v>
      </c>
    </row>
    <row r="368" spans="1:6" x14ac:dyDescent="0.25">
      <c r="A368" s="1">
        <v>39308</v>
      </c>
      <c r="B368">
        <v>8900</v>
      </c>
      <c r="C368">
        <v>9050</v>
      </c>
      <c r="D368">
        <v>8823</v>
      </c>
      <c r="E368">
        <v>8895</v>
      </c>
      <c r="F368">
        <v>8964.4</v>
      </c>
    </row>
    <row r="369" spans="1:6" x14ac:dyDescent="0.25">
      <c r="A369" s="1">
        <v>39309</v>
      </c>
      <c r="B369">
        <v>8726</v>
      </c>
      <c r="C369">
        <v>8772</v>
      </c>
      <c r="D369">
        <v>8540</v>
      </c>
      <c r="E369">
        <v>8540</v>
      </c>
      <c r="F369">
        <v>8855.7999999999993</v>
      </c>
    </row>
    <row r="370" spans="1:6" x14ac:dyDescent="0.25">
      <c r="A370" s="1">
        <v>39310</v>
      </c>
      <c r="B370">
        <v>8290</v>
      </c>
      <c r="C370">
        <v>8330</v>
      </c>
      <c r="D370">
        <v>7986</v>
      </c>
      <c r="E370">
        <v>8150</v>
      </c>
      <c r="F370">
        <v>8661.7999999999993</v>
      </c>
    </row>
    <row r="371" spans="1:6" x14ac:dyDescent="0.25">
      <c r="A371" s="1">
        <v>39311</v>
      </c>
      <c r="B371">
        <v>8088</v>
      </c>
      <c r="C371">
        <v>8220</v>
      </c>
      <c r="D371">
        <v>7808</v>
      </c>
      <c r="E371">
        <v>7906</v>
      </c>
      <c r="F371">
        <v>8483.2000000000007</v>
      </c>
    </row>
    <row r="372" spans="1:6" x14ac:dyDescent="0.25">
      <c r="A372" s="1">
        <v>39314</v>
      </c>
      <c r="B372">
        <v>8233</v>
      </c>
      <c r="C372">
        <v>8435</v>
      </c>
      <c r="D372">
        <v>8210</v>
      </c>
      <c r="E372">
        <v>8435</v>
      </c>
      <c r="F372">
        <v>8385.2000000000007</v>
      </c>
    </row>
    <row r="373" spans="1:6" x14ac:dyDescent="0.25">
      <c r="A373" s="1">
        <v>39315</v>
      </c>
      <c r="B373">
        <v>8392</v>
      </c>
      <c r="C373">
        <v>8515</v>
      </c>
      <c r="D373">
        <v>8313</v>
      </c>
      <c r="E373">
        <v>8368</v>
      </c>
      <c r="F373">
        <v>8279.7999999999993</v>
      </c>
    </row>
    <row r="374" spans="1:6" x14ac:dyDescent="0.25">
      <c r="A374" s="1">
        <v>39316</v>
      </c>
      <c r="B374">
        <v>8390</v>
      </c>
      <c r="C374">
        <v>8450</v>
      </c>
      <c r="D374">
        <v>8343</v>
      </c>
      <c r="E374">
        <v>8450</v>
      </c>
      <c r="F374">
        <v>8261.7999999999993</v>
      </c>
    </row>
    <row r="375" spans="1:6" x14ac:dyDescent="0.25">
      <c r="A375" s="1">
        <v>39317</v>
      </c>
      <c r="B375">
        <v>8688</v>
      </c>
      <c r="C375">
        <v>8705</v>
      </c>
      <c r="D375">
        <v>8635</v>
      </c>
      <c r="E375">
        <v>8686</v>
      </c>
      <c r="F375">
        <v>8369</v>
      </c>
    </row>
    <row r="376" spans="1:6" x14ac:dyDescent="0.25">
      <c r="A376" s="1">
        <v>39318</v>
      </c>
      <c r="B376">
        <v>8660</v>
      </c>
      <c r="C376">
        <v>8660</v>
      </c>
      <c r="D376">
        <v>8581</v>
      </c>
      <c r="E376">
        <v>8604</v>
      </c>
      <c r="F376">
        <v>8508.6</v>
      </c>
    </row>
    <row r="377" spans="1:6" x14ac:dyDescent="0.25">
      <c r="A377" s="1">
        <v>39321</v>
      </c>
      <c r="B377">
        <v>8750</v>
      </c>
      <c r="C377">
        <v>8775</v>
      </c>
      <c r="D377">
        <v>8620</v>
      </c>
      <c r="E377">
        <v>8635</v>
      </c>
      <c r="F377">
        <v>8548.6</v>
      </c>
    </row>
    <row r="378" spans="1:6" x14ac:dyDescent="0.25">
      <c r="A378" s="1">
        <v>39322</v>
      </c>
      <c r="B378">
        <v>8635</v>
      </c>
      <c r="C378">
        <v>8710</v>
      </c>
      <c r="D378">
        <v>8600</v>
      </c>
      <c r="E378">
        <v>8690</v>
      </c>
      <c r="F378">
        <v>8613</v>
      </c>
    </row>
    <row r="379" spans="1:6" x14ac:dyDescent="0.25">
      <c r="A379" s="1">
        <v>39323</v>
      </c>
      <c r="B379">
        <v>8450</v>
      </c>
      <c r="C379">
        <v>8567</v>
      </c>
      <c r="D379">
        <v>8440</v>
      </c>
      <c r="E379">
        <v>8547</v>
      </c>
      <c r="F379">
        <v>8632.4</v>
      </c>
    </row>
    <row r="380" spans="1:6" x14ac:dyDescent="0.25">
      <c r="A380" s="1">
        <v>39324</v>
      </c>
      <c r="B380">
        <v>8697</v>
      </c>
      <c r="C380">
        <v>8760</v>
      </c>
      <c r="D380">
        <v>8666</v>
      </c>
      <c r="E380">
        <v>8700</v>
      </c>
      <c r="F380">
        <v>8635.2000000000007</v>
      </c>
    </row>
    <row r="381" spans="1:6" x14ac:dyDescent="0.25">
      <c r="A381" s="1">
        <v>39325</v>
      </c>
      <c r="B381">
        <v>8732</v>
      </c>
      <c r="C381">
        <v>8986</v>
      </c>
      <c r="D381">
        <v>8727</v>
      </c>
      <c r="E381">
        <v>8984</v>
      </c>
      <c r="F381">
        <v>8711.2000000000007</v>
      </c>
    </row>
    <row r="382" spans="1:6" x14ac:dyDescent="0.25">
      <c r="A382" s="1">
        <v>39328</v>
      </c>
      <c r="B382">
        <v>8976</v>
      </c>
      <c r="C382">
        <v>8999</v>
      </c>
      <c r="D382">
        <v>8923</v>
      </c>
      <c r="E382">
        <v>8963</v>
      </c>
      <c r="F382">
        <v>8776.7999999999993</v>
      </c>
    </row>
    <row r="383" spans="1:6" x14ac:dyDescent="0.25">
      <c r="A383" s="1">
        <v>39329</v>
      </c>
      <c r="B383">
        <v>8960</v>
      </c>
      <c r="C383">
        <v>9008</v>
      </c>
      <c r="D383">
        <v>8866</v>
      </c>
      <c r="E383">
        <v>8895</v>
      </c>
      <c r="F383">
        <v>8817.7999999999993</v>
      </c>
    </row>
    <row r="384" spans="1:6" x14ac:dyDescent="0.25">
      <c r="A384" s="1">
        <v>39330</v>
      </c>
      <c r="B384">
        <v>8990</v>
      </c>
      <c r="C384">
        <v>9002</v>
      </c>
      <c r="D384">
        <v>8814</v>
      </c>
      <c r="E384">
        <v>8820</v>
      </c>
      <c r="F384">
        <v>8872.4</v>
      </c>
    </row>
    <row r="385" spans="1:6" x14ac:dyDescent="0.25">
      <c r="A385" s="1">
        <v>39331</v>
      </c>
      <c r="B385">
        <v>8769</v>
      </c>
      <c r="C385">
        <v>9009</v>
      </c>
      <c r="D385">
        <v>8751</v>
      </c>
      <c r="E385">
        <v>9009</v>
      </c>
      <c r="F385">
        <v>8934.2000000000007</v>
      </c>
    </row>
    <row r="386" spans="1:6" x14ac:dyDescent="0.25">
      <c r="A386" s="1">
        <v>39332</v>
      </c>
      <c r="B386">
        <v>8987</v>
      </c>
      <c r="C386">
        <v>9055</v>
      </c>
      <c r="D386">
        <v>8945</v>
      </c>
      <c r="E386">
        <v>8970</v>
      </c>
      <c r="F386">
        <v>8931.4</v>
      </c>
    </row>
    <row r="387" spans="1:6" x14ac:dyDescent="0.25">
      <c r="A387" s="1">
        <v>39335</v>
      </c>
      <c r="B387">
        <v>8800</v>
      </c>
      <c r="C387">
        <v>8933</v>
      </c>
      <c r="D387">
        <v>8742</v>
      </c>
      <c r="E387">
        <v>8894</v>
      </c>
      <c r="F387">
        <v>8917.6</v>
      </c>
    </row>
    <row r="388" spans="1:6" x14ac:dyDescent="0.25">
      <c r="A388" s="1">
        <v>39336</v>
      </c>
      <c r="B388">
        <v>8880</v>
      </c>
      <c r="C388">
        <v>9002</v>
      </c>
      <c r="D388">
        <v>8870</v>
      </c>
      <c r="E388">
        <v>9000</v>
      </c>
      <c r="F388">
        <v>8938.6</v>
      </c>
    </row>
    <row r="389" spans="1:6" x14ac:dyDescent="0.25">
      <c r="A389" s="1">
        <v>39337</v>
      </c>
      <c r="B389">
        <v>9047</v>
      </c>
      <c r="C389">
        <v>9062</v>
      </c>
      <c r="D389">
        <v>8934</v>
      </c>
      <c r="E389">
        <v>8935</v>
      </c>
      <c r="F389">
        <v>8961.6</v>
      </c>
    </row>
    <row r="390" spans="1:6" x14ac:dyDescent="0.25">
      <c r="A390" s="1">
        <v>39338</v>
      </c>
      <c r="B390">
        <v>8985</v>
      </c>
      <c r="C390">
        <v>9012</v>
      </c>
      <c r="D390">
        <v>8880</v>
      </c>
      <c r="E390">
        <v>8919</v>
      </c>
      <c r="F390">
        <v>8943.6</v>
      </c>
    </row>
    <row r="391" spans="1:6" x14ac:dyDescent="0.25">
      <c r="A391" s="1">
        <v>39339</v>
      </c>
      <c r="B391">
        <v>8980</v>
      </c>
      <c r="C391">
        <v>9066</v>
      </c>
      <c r="D391">
        <v>8950</v>
      </c>
      <c r="E391">
        <v>9029</v>
      </c>
      <c r="F391">
        <v>8955.4</v>
      </c>
    </row>
    <row r="392" spans="1:6" x14ac:dyDescent="0.25">
      <c r="A392" s="1">
        <v>39342</v>
      </c>
      <c r="B392">
        <v>9016</v>
      </c>
      <c r="C392">
        <v>9050</v>
      </c>
      <c r="D392">
        <v>8823</v>
      </c>
      <c r="E392">
        <v>8880</v>
      </c>
      <c r="F392">
        <v>8952.6</v>
      </c>
    </row>
    <row r="393" spans="1:6" x14ac:dyDescent="0.25">
      <c r="A393" s="1">
        <v>39344</v>
      </c>
      <c r="B393">
        <v>9100</v>
      </c>
      <c r="C393">
        <v>9126</v>
      </c>
      <c r="D393">
        <v>8890</v>
      </c>
      <c r="E393">
        <v>8932</v>
      </c>
      <c r="F393">
        <v>8939</v>
      </c>
    </row>
    <row r="394" spans="1:6" x14ac:dyDescent="0.25">
      <c r="A394" s="1">
        <v>39345</v>
      </c>
      <c r="B394">
        <v>9010</v>
      </c>
      <c r="C394">
        <v>9139</v>
      </c>
      <c r="D394">
        <v>8965</v>
      </c>
      <c r="E394">
        <v>9018</v>
      </c>
      <c r="F394">
        <v>8955.6</v>
      </c>
    </row>
    <row r="395" spans="1:6" x14ac:dyDescent="0.25">
      <c r="A395" s="1">
        <v>39346</v>
      </c>
      <c r="B395">
        <v>9005</v>
      </c>
      <c r="C395">
        <v>9138</v>
      </c>
      <c r="D395">
        <v>9005</v>
      </c>
      <c r="E395">
        <v>9138</v>
      </c>
      <c r="F395">
        <v>8999.4</v>
      </c>
    </row>
    <row r="396" spans="1:6" x14ac:dyDescent="0.25">
      <c r="A396" s="1">
        <v>39351</v>
      </c>
      <c r="B396">
        <v>9172</v>
      </c>
      <c r="C396">
        <v>9300</v>
      </c>
      <c r="D396">
        <v>9172</v>
      </c>
      <c r="E396">
        <v>9285</v>
      </c>
      <c r="F396">
        <v>9050.6</v>
      </c>
    </row>
    <row r="397" spans="1:6" x14ac:dyDescent="0.25">
      <c r="A397" s="1">
        <v>39352</v>
      </c>
      <c r="B397">
        <v>9346</v>
      </c>
      <c r="C397">
        <v>9426</v>
      </c>
      <c r="D397">
        <v>9302</v>
      </c>
      <c r="E397">
        <v>9412</v>
      </c>
      <c r="F397">
        <v>9157</v>
      </c>
    </row>
    <row r="398" spans="1:6" x14ac:dyDescent="0.25">
      <c r="A398" s="1">
        <v>39353</v>
      </c>
      <c r="B398">
        <v>9430</v>
      </c>
      <c r="C398">
        <v>9470</v>
      </c>
      <c r="D398">
        <v>9375</v>
      </c>
      <c r="E398">
        <v>9375</v>
      </c>
      <c r="F398">
        <v>9245.6</v>
      </c>
    </row>
    <row r="399" spans="1:6" x14ac:dyDescent="0.25">
      <c r="A399" s="1">
        <v>39354</v>
      </c>
      <c r="B399">
        <v>9425</v>
      </c>
      <c r="C399">
        <v>9495</v>
      </c>
      <c r="D399">
        <v>9401</v>
      </c>
      <c r="E399">
        <v>9495</v>
      </c>
      <c r="F399">
        <v>9341</v>
      </c>
    </row>
    <row r="400" spans="1:6" x14ac:dyDescent="0.25">
      <c r="A400" s="1">
        <v>39356</v>
      </c>
      <c r="B400">
        <v>9530</v>
      </c>
      <c r="C400">
        <v>9551</v>
      </c>
      <c r="D400">
        <v>9475</v>
      </c>
      <c r="E400">
        <v>9500</v>
      </c>
      <c r="F400">
        <v>9413.4</v>
      </c>
    </row>
    <row r="401" spans="1:6" x14ac:dyDescent="0.25">
      <c r="A401" s="1">
        <v>39357</v>
      </c>
      <c r="B401">
        <v>9610</v>
      </c>
      <c r="C401">
        <v>9684</v>
      </c>
      <c r="D401">
        <v>9581</v>
      </c>
      <c r="E401">
        <v>9674</v>
      </c>
      <c r="F401">
        <v>9491.2000000000007</v>
      </c>
    </row>
    <row r="402" spans="1:6" x14ac:dyDescent="0.25">
      <c r="A402" s="1">
        <v>39358</v>
      </c>
      <c r="B402">
        <v>9669</v>
      </c>
      <c r="C402">
        <v>9832</v>
      </c>
      <c r="D402">
        <v>9646</v>
      </c>
      <c r="E402">
        <v>9772</v>
      </c>
      <c r="F402">
        <v>9563.2000000000007</v>
      </c>
    </row>
    <row r="403" spans="1:6" x14ac:dyDescent="0.25">
      <c r="A403" s="1">
        <v>39359</v>
      </c>
      <c r="B403">
        <v>9720</v>
      </c>
      <c r="C403">
        <v>9721</v>
      </c>
      <c r="D403">
        <v>9633</v>
      </c>
      <c r="E403">
        <v>9677</v>
      </c>
      <c r="F403">
        <v>9623.6</v>
      </c>
    </row>
    <row r="404" spans="1:6" x14ac:dyDescent="0.25">
      <c r="A404" s="1">
        <v>39360</v>
      </c>
      <c r="B404">
        <v>9669</v>
      </c>
      <c r="C404">
        <v>9707</v>
      </c>
      <c r="D404">
        <v>9588</v>
      </c>
      <c r="E404">
        <v>9621</v>
      </c>
      <c r="F404">
        <v>9648.7999999999993</v>
      </c>
    </row>
    <row r="405" spans="1:6" x14ac:dyDescent="0.25">
      <c r="A405" s="1">
        <v>39363</v>
      </c>
      <c r="B405">
        <v>9707</v>
      </c>
      <c r="C405">
        <v>9773</v>
      </c>
      <c r="D405">
        <v>9688</v>
      </c>
      <c r="E405">
        <v>9741</v>
      </c>
      <c r="F405">
        <v>9697</v>
      </c>
    </row>
    <row r="406" spans="1:6" x14ac:dyDescent="0.25">
      <c r="A406" s="1">
        <v>39364</v>
      </c>
      <c r="B406">
        <v>9756</v>
      </c>
      <c r="C406">
        <v>9766</v>
      </c>
      <c r="D406">
        <v>9591</v>
      </c>
      <c r="E406">
        <v>9654</v>
      </c>
      <c r="F406">
        <v>9693</v>
      </c>
    </row>
    <row r="407" spans="1:6" x14ac:dyDescent="0.25">
      <c r="A407" s="1">
        <v>39366</v>
      </c>
      <c r="B407">
        <v>9689</v>
      </c>
      <c r="C407">
        <v>9749</v>
      </c>
      <c r="D407">
        <v>9664</v>
      </c>
      <c r="E407">
        <v>9745</v>
      </c>
      <c r="F407">
        <v>9687.6</v>
      </c>
    </row>
    <row r="408" spans="1:6" x14ac:dyDescent="0.25">
      <c r="A408" s="1">
        <v>39367</v>
      </c>
      <c r="B408">
        <v>9687</v>
      </c>
      <c r="C408">
        <v>9728</v>
      </c>
      <c r="D408">
        <v>9444</v>
      </c>
      <c r="E408">
        <v>9453</v>
      </c>
      <c r="F408">
        <v>9642.7999999999993</v>
      </c>
    </row>
    <row r="409" spans="1:6" x14ac:dyDescent="0.25">
      <c r="A409" s="1">
        <v>39370</v>
      </c>
      <c r="B409">
        <v>9527</v>
      </c>
      <c r="C409">
        <v>9547</v>
      </c>
      <c r="D409">
        <v>9410</v>
      </c>
      <c r="E409">
        <v>9504</v>
      </c>
      <c r="F409">
        <v>9619.4</v>
      </c>
    </row>
    <row r="410" spans="1:6" x14ac:dyDescent="0.25">
      <c r="A410" s="1">
        <v>39371</v>
      </c>
      <c r="B410">
        <v>9432</v>
      </c>
      <c r="C410">
        <v>9630</v>
      </c>
      <c r="D410">
        <v>9425</v>
      </c>
      <c r="E410">
        <v>9561</v>
      </c>
      <c r="F410">
        <v>9583.4</v>
      </c>
    </row>
    <row r="411" spans="1:6" x14ac:dyDescent="0.25">
      <c r="A411" s="1">
        <v>39372</v>
      </c>
      <c r="B411">
        <v>9500</v>
      </c>
      <c r="C411">
        <v>9620</v>
      </c>
      <c r="D411">
        <v>9467</v>
      </c>
      <c r="E411">
        <v>9556</v>
      </c>
      <c r="F411">
        <v>9563.7999999999993</v>
      </c>
    </row>
    <row r="412" spans="1:6" x14ac:dyDescent="0.25">
      <c r="A412" s="1">
        <v>39373</v>
      </c>
      <c r="B412">
        <v>9615</v>
      </c>
      <c r="C412">
        <v>9695</v>
      </c>
      <c r="D412">
        <v>9601</v>
      </c>
      <c r="E412">
        <v>9680</v>
      </c>
      <c r="F412">
        <v>9550.7999999999993</v>
      </c>
    </row>
    <row r="413" spans="1:6" x14ac:dyDescent="0.25">
      <c r="A413" s="1">
        <v>39374</v>
      </c>
      <c r="B413">
        <v>9612</v>
      </c>
      <c r="C413">
        <v>9677</v>
      </c>
      <c r="D413">
        <v>9606</v>
      </c>
      <c r="E413">
        <v>9609</v>
      </c>
      <c r="F413">
        <v>9582</v>
      </c>
    </row>
    <row r="414" spans="1:6" x14ac:dyDescent="0.25">
      <c r="A414" s="1">
        <v>39377</v>
      </c>
      <c r="B414">
        <v>9349</v>
      </c>
      <c r="C414">
        <v>9380</v>
      </c>
      <c r="D414">
        <v>9233</v>
      </c>
      <c r="E414">
        <v>9321</v>
      </c>
      <c r="F414">
        <v>9545.4</v>
      </c>
    </row>
    <row r="415" spans="1:6" x14ac:dyDescent="0.25">
      <c r="A415" s="1">
        <v>39378</v>
      </c>
      <c r="B415">
        <v>9388</v>
      </c>
      <c r="C415">
        <v>9540</v>
      </c>
      <c r="D415">
        <v>9371</v>
      </c>
      <c r="E415">
        <v>9511</v>
      </c>
      <c r="F415">
        <v>9535.4</v>
      </c>
    </row>
    <row r="416" spans="1:6" x14ac:dyDescent="0.25">
      <c r="A416" s="1">
        <v>39379</v>
      </c>
      <c r="B416">
        <v>9575</v>
      </c>
      <c r="C416">
        <v>9652</v>
      </c>
      <c r="D416">
        <v>9410</v>
      </c>
      <c r="E416">
        <v>9456</v>
      </c>
      <c r="F416">
        <v>9515.4</v>
      </c>
    </row>
    <row r="417" spans="1:6" x14ac:dyDescent="0.25">
      <c r="A417" s="1">
        <v>39380</v>
      </c>
      <c r="B417">
        <v>9555</v>
      </c>
      <c r="C417">
        <v>9600</v>
      </c>
      <c r="D417">
        <v>9496</v>
      </c>
      <c r="E417">
        <v>9598</v>
      </c>
      <c r="F417">
        <v>9499</v>
      </c>
    </row>
    <row r="418" spans="1:6" x14ac:dyDescent="0.25">
      <c r="A418" s="1">
        <v>39381</v>
      </c>
      <c r="B418">
        <v>9622</v>
      </c>
      <c r="C418">
        <v>9685</v>
      </c>
      <c r="D418">
        <v>9602</v>
      </c>
      <c r="E418">
        <v>9679</v>
      </c>
      <c r="F418">
        <v>9513</v>
      </c>
    </row>
    <row r="419" spans="1:6" x14ac:dyDescent="0.25">
      <c r="A419" s="1">
        <v>39384</v>
      </c>
      <c r="B419">
        <v>9781</v>
      </c>
      <c r="C419">
        <v>9867</v>
      </c>
      <c r="D419">
        <v>9756</v>
      </c>
      <c r="E419">
        <v>9861</v>
      </c>
      <c r="F419">
        <v>9621</v>
      </c>
    </row>
    <row r="420" spans="1:6" x14ac:dyDescent="0.25">
      <c r="A420" s="1">
        <v>39385</v>
      </c>
      <c r="B420">
        <v>9850</v>
      </c>
      <c r="C420">
        <v>9854</v>
      </c>
      <c r="D420">
        <v>9770</v>
      </c>
      <c r="E420">
        <v>9785</v>
      </c>
      <c r="F420">
        <v>9675.7999999999993</v>
      </c>
    </row>
    <row r="421" spans="1:6" x14ac:dyDescent="0.25">
      <c r="A421" s="1">
        <v>39386</v>
      </c>
      <c r="B421">
        <v>9795</v>
      </c>
      <c r="C421">
        <v>9815</v>
      </c>
      <c r="D421">
        <v>9716</v>
      </c>
      <c r="E421">
        <v>9780</v>
      </c>
      <c r="F421">
        <v>9740.6</v>
      </c>
    </row>
    <row r="422" spans="1:6" x14ac:dyDescent="0.25">
      <c r="A422" s="1">
        <v>39387</v>
      </c>
      <c r="B422">
        <v>9822</v>
      </c>
      <c r="C422">
        <v>9833</v>
      </c>
      <c r="D422">
        <v>9563</v>
      </c>
      <c r="E422">
        <v>9651</v>
      </c>
      <c r="F422">
        <v>9751.2000000000007</v>
      </c>
    </row>
    <row r="423" spans="1:6" x14ac:dyDescent="0.25">
      <c r="A423" s="1">
        <v>39388</v>
      </c>
      <c r="B423">
        <v>9450</v>
      </c>
      <c r="C423">
        <v>9495</v>
      </c>
      <c r="D423">
        <v>9202</v>
      </c>
      <c r="E423">
        <v>9230</v>
      </c>
      <c r="F423">
        <v>9661.4</v>
      </c>
    </row>
    <row r="424" spans="1:6" x14ac:dyDescent="0.25">
      <c r="A424" s="1">
        <v>39391</v>
      </c>
      <c r="B424">
        <v>9180</v>
      </c>
      <c r="C424">
        <v>9319</v>
      </c>
      <c r="D424">
        <v>9091</v>
      </c>
      <c r="E424">
        <v>9272</v>
      </c>
      <c r="F424">
        <v>9543.6</v>
      </c>
    </row>
    <row r="425" spans="1:6" x14ac:dyDescent="0.25">
      <c r="A425" s="1">
        <v>39392</v>
      </c>
      <c r="B425">
        <v>9310</v>
      </c>
      <c r="C425">
        <v>9354</v>
      </c>
      <c r="D425">
        <v>9255</v>
      </c>
      <c r="E425">
        <v>9304</v>
      </c>
      <c r="F425">
        <v>9447.4</v>
      </c>
    </row>
    <row r="426" spans="1:6" x14ac:dyDescent="0.25">
      <c r="A426" s="1">
        <v>39393</v>
      </c>
      <c r="B426">
        <v>9363</v>
      </c>
      <c r="C426">
        <v>9400</v>
      </c>
      <c r="D426">
        <v>9264</v>
      </c>
      <c r="E426">
        <v>9264</v>
      </c>
      <c r="F426">
        <v>9344.2000000000007</v>
      </c>
    </row>
    <row r="427" spans="1:6" x14ac:dyDescent="0.25">
      <c r="A427" s="1">
        <v>39394</v>
      </c>
      <c r="B427">
        <v>9006</v>
      </c>
      <c r="C427">
        <v>9078</v>
      </c>
      <c r="D427">
        <v>8820</v>
      </c>
      <c r="E427">
        <v>8915</v>
      </c>
      <c r="F427">
        <v>9197</v>
      </c>
    </row>
    <row r="428" spans="1:6" x14ac:dyDescent="0.25">
      <c r="A428" s="1">
        <v>39395</v>
      </c>
      <c r="B428">
        <v>8980</v>
      </c>
      <c r="C428">
        <v>9025</v>
      </c>
      <c r="D428">
        <v>8860</v>
      </c>
      <c r="E428">
        <v>8973</v>
      </c>
      <c r="F428">
        <v>9145.6</v>
      </c>
    </row>
    <row r="429" spans="1:6" x14ac:dyDescent="0.25">
      <c r="A429" s="1">
        <v>39398</v>
      </c>
      <c r="B429">
        <v>8700</v>
      </c>
      <c r="C429">
        <v>8735</v>
      </c>
      <c r="D429">
        <v>8572</v>
      </c>
      <c r="E429">
        <v>8673</v>
      </c>
      <c r="F429">
        <v>9025.7999999999993</v>
      </c>
    </row>
    <row r="430" spans="1:6" x14ac:dyDescent="0.25">
      <c r="A430" s="1">
        <v>39399</v>
      </c>
      <c r="B430">
        <v>8662</v>
      </c>
      <c r="C430">
        <v>8765</v>
      </c>
      <c r="D430">
        <v>8560</v>
      </c>
      <c r="E430">
        <v>8754</v>
      </c>
      <c r="F430">
        <v>8915.7999999999993</v>
      </c>
    </row>
    <row r="431" spans="1:6" x14ac:dyDescent="0.25">
      <c r="A431" s="1">
        <v>39400</v>
      </c>
      <c r="B431">
        <v>8950</v>
      </c>
      <c r="C431">
        <v>8977</v>
      </c>
      <c r="D431">
        <v>8911</v>
      </c>
      <c r="E431">
        <v>8943</v>
      </c>
      <c r="F431">
        <v>8851.6</v>
      </c>
    </row>
    <row r="432" spans="1:6" x14ac:dyDescent="0.25">
      <c r="A432" s="1">
        <v>39401</v>
      </c>
      <c r="B432">
        <v>8908</v>
      </c>
      <c r="C432">
        <v>8935</v>
      </c>
      <c r="D432">
        <v>8865</v>
      </c>
      <c r="E432">
        <v>8869</v>
      </c>
      <c r="F432">
        <v>8842.4</v>
      </c>
    </row>
    <row r="433" spans="1:6" x14ac:dyDescent="0.25">
      <c r="A433" s="1">
        <v>39402</v>
      </c>
      <c r="B433">
        <v>8666</v>
      </c>
      <c r="C433">
        <v>8778</v>
      </c>
      <c r="D433">
        <v>8626</v>
      </c>
      <c r="E433">
        <v>8760</v>
      </c>
      <c r="F433">
        <v>8799.7999999999993</v>
      </c>
    </row>
    <row r="434" spans="1:6" x14ac:dyDescent="0.25">
      <c r="A434" s="1">
        <v>39405</v>
      </c>
      <c r="B434">
        <v>8800</v>
      </c>
      <c r="C434">
        <v>8825</v>
      </c>
      <c r="D434">
        <v>8611</v>
      </c>
      <c r="E434">
        <v>8615</v>
      </c>
      <c r="F434">
        <v>8788.2000000000007</v>
      </c>
    </row>
    <row r="435" spans="1:6" x14ac:dyDescent="0.25">
      <c r="A435" s="1">
        <v>39406</v>
      </c>
      <c r="B435">
        <v>8366</v>
      </c>
      <c r="C435">
        <v>8727</v>
      </c>
      <c r="D435">
        <v>8339</v>
      </c>
      <c r="E435">
        <v>8727</v>
      </c>
      <c r="F435">
        <v>8782.7999999999993</v>
      </c>
    </row>
    <row r="436" spans="1:6" x14ac:dyDescent="0.25">
      <c r="A436" s="1">
        <v>39407</v>
      </c>
      <c r="B436">
        <v>8628</v>
      </c>
      <c r="C436">
        <v>8694</v>
      </c>
      <c r="D436">
        <v>8421</v>
      </c>
      <c r="E436">
        <v>8434</v>
      </c>
      <c r="F436">
        <v>8681</v>
      </c>
    </row>
    <row r="437" spans="1:6" x14ac:dyDescent="0.25">
      <c r="A437" s="1">
        <v>39408</v>
      </c>
      <c r="B437">
        <v>8453</v>
      </c>
      <c r="C437">
        <v>8590</v>
      </c>
      <c r="D437">
        <v>8323</v>
      </c>
      <c r="E437">
        <v>8474</v>
      </c>
      <c r="F437">
        <v>8602</v>
      </c>
    </row>
    <row r="438" spans="1:6" x14ac:dyDescent="0.25">
      <c r="A438" s="1">
        <v>39409</v>
      </c>
      <c r="B438">
        <v>8480</v>
      </c>
      <c r="C438">
        <v>8518</v>
      </c>
      <c r="D438">
        <v>8312</v>
      </c>
      <c r="E438">
        <v>8324</v>
      </c>
      <c r="F438">
        <v>8514.7999999999993</v>
      </c>
    </row>
    <row r="439" spans="1:6" x14ac:dyDescent="0.25">
      <c r="A439" s="1">
        <v>39412</v>
      </c>
      <c r="B439">
        <v>8433</v>
      </c>
      <c r="C439">
        <v>8560</v>
      </c>
      <c r="D439">
        <v>8408</v>
      </c>
      <c r="E439">
        <v>8535</v>
      </c>
      <c r="F439">
        <v>8498.7999999999993</v>
      </c>
    </row>
    <row r="440" spans="1:6" x14ac:dyDescent="0.25">
      <c r="A440" s="1">
        <v>39413</v>
      </c>
      <c r="B440">
        <v>8344</v>
      </c>
      <c r="C440">
        <v>8491</v>
      </c>
      <c r="D440">
        <v>8188</v>
      </c>
      <c r="E440">
        <v>8401</v>
      </c>
      <c r="F440">
        <v>8433.6</v>
      </c>
    </row>
    <row r="441" spans="1:6" x14ac:dyDescent="0.25">
      <c r="A441" s="1">
        <v>39414</v>
      </c>
      <c r="B441">
        <v>8471</v>
      </c>
      <c r="C441">
        <v>8475</v>
      </c>
      <c r="D441">
        <v>8240</v>
      </c>
      <c r="E441">
        <v>8248</v>
      </c>
      <c r="F441">
        <v>8396.4</v>
      </c>
    </row>
    <row r="442" spans="1:6" x14ac:dyDescent="0.25">
      <c r="A442" s="1">
        <v>39415</v>
      </c>
      <c r="B442">
        <v>8447</v>
      </c>
      <c r="C442">
        <v>8486</v>
      </c>
      <c r="D442">
        <v>8388</v>
      </c>
      <c r="E442">
        <v>8427</v>
      </c>
      <c r="F442">
        <v>8387</v>
      </c>
    </row>
    <row r="443" spans="1:6" x14ac:dyDescent="0.25">
      <c r="A443" s="1">
        <v>39416</v>
      </c>
      <c r="B443">
        <v>8488</v>
      </c>
      <c r="C443">
        <v>8623</v>
      </c>
      <c r="D443">
        <v>8488</v>
      </c>
      <c r="E443">
        <v>8610</v>
      </c>
      <c r="F443">
        <v>8444.2000000000007</v>
      </c>
    </row>
    <row r="444" spans="1:6" x14ac:dyDescent="0.25">
      <c r="A444" s="1">
        <v>39419</v>
      </c>
      <c r="B444">
        <v>8609</v>
      </c>
      <c r="C444">
        <v>8635</v>
      </c>
      <c r="D444">
        <v>8555</v>
      </c>
      <c r="E444">
        <v>8598</v>
      </c>
      <c r="F444">
        <v>8456.7999999999993</v>
      </c>
    </row>
    <row r="445" spans="1:6" x14ac:dyDescent="0.25">
      <c r="A445" s="1">
        <v>39420</v>
      </c>
      <c r="B445">
        <v>8580</v>
      </c>
      <c r="C445">
        <v>8646</v>
      </c>
      <c r="D445">
        <v>8534</v>
      </c>
      <c r="E445">
        <v>8622</v>
      </c>
      <c r="F445">
        <v>8501</v>
      </c>
    </row>
    <row r="446" spans="1:6" x14ac:dyDescent="0.25">
      <c r="A446" s="1">
        <v>39421</v>
      </c>
      <c r="B446">
        <v>8592</v>
      </c>
      <c r="C446">
        <v>8713</v>
      </c>
      <c r="D446">
        <v>8560</v>
      </c>
      <c r="E446">
        <v>8709</v>
      </c>
      <c r="F446">
        <v>8593.2000000000007</v>
      </c>
    </row>
    <row r="447" spans="1:6" x14ac:dyDescent="0.25">
      <c r="A447" s="1">
        <v>39422</v>
      </c>
      <c r="B447">
        <v>8802</v>
      </c>
      <c r="C447">
        <v>8810</v>
      </c>
      <c r="D447">
        <v>8671</v>
      </c>
      <c r="E447">
        <v>8736</v>
      </c>
      <c r="F447">
        <v>8655</v>
      </c>
    </row>
    <row r="448" spans="1:6" x14ac:dyDescent="0.25">
      <c r="A448" s="1">
        <v>39423</v>
      </c>
      <c r="B448">
        <v>8760</v>
      </c>
      <c r="C448">
        <v>8819</v>
      </c>
      <c r="D448">
        <v>8699</v>
      </c>
      <c r="E448">
        <v>8710</v>
      </c>
      <c r="F448">
        <v>8675</v>
      </c>
    </row>
    <row r="449" spans="1:6" x14ac:dyDescent="0.25">
      <c r="A449" s="1">
        <v>39426</v>
      </c>
      <c r="B449">
        <v>8700</v>
      </c>
      <c r="C449">
        <v>8725</v>
      </c>
      <c r="D449">
        <v>8548</v>
      </c>
      <c r="E449">
        <v>8560</v>
      </c>
      <c r="F449">
        <v>8667.4</v>
      </c>
    </row>
    <row r="450" spans="1:6" x14ac:dyDescent="0.25">
      <c r="A450" s="1">
        <v>39427</v>
      </c>
      <c r="B450">
        <v>8608</v>
      </c>
      <c r="C450">
        <v>8660</v>
      </c>
      <c r="D450">
        <v>8568</v>
      </c>
      <c r="E450">
        <v>8644</v>
      </c>
      <c r="F450">
        <v>8671.7999999999993</v>
      </c>
    </row>
    <row r="451" spans="1:6" x14ac:dyDescent="0.25">
      <c r="A451" s="1">
        <v>39428</v>
      </c>
      <c r="B451">
        <v>8485</v>
      </c>
      <c r="C451">
        <v>8548</v>
      </c>
      <c r="D451">
        <v>8433</v>
      </c>
      <c r="E451">
        <v>8507</v>
      </c>
      <c r="F451">
        <v>8631.4</v>
      </c>
    </row>
    <row r="452" spans="1:6" x14ac:dyDescent="0.25">
      <c r="A452" s="1">
        <v>39429</v>
      </c>
      <c r="B452">
        <v>8451</v>
      </c>
      <c r="C452">
        <v>8504</v>
      </c>
      <c r="D452">
        <v>8102</v>
      </c>
      <c r="E452">
        <v>8108</v>
      </c>
      <c r="F452">
        <v>8505.7999999999993</v>
      </c>
    </row>
    <row r="453" spans="1:6" x14ac:dyDescent="0.25">
      <c r="A453" s="1">
        <v>39430</v>
      </c>
      <c r="B453">
        <v>8115</v>
      </c>
      <c r="C453">
        <v>8174</v>
      </c>
      <c r="D453">
        <v>7856</v>
      </c>
      <c r="E453">
        <v>8060</v>
      </c>
      <c r="F453">
        <v>8375.7999999999993</v>
      </c>
    </row>
    <row r="454" spans="1:6" x14ac:dyDescent="0.25">
      <c r="A454" s="1">
        <v>39433</v>
      </c>
      <c r="B454">
        <v>8000</v>
      </c>
      <c r="C454">
        <v>8081</v>
      </c>
      <c r="D454">
        <v>7742</v>
      </c>
      <c r="E454">
        <v>7754</v>
      </c>
      <c r="F454">
        <v>8214.6</v>
      </c>
    </row>
    <row r="455" spans="1:6" x14ac:dyDescent="0.25">
      <c r="A455" s="1">
        <v>39434</v>
      </c>
      <c r="B455">
        <v>7630</v>
      </c>
      <c r="C455">
        <v>7933</v>
      </c>
      <c r="D455">
        <v>7628</v>
      </c>
      <c r="E455">
        <v>7819</v>
      </c>
      <c r="F455">
        <v>8049.6</v>
      </c>
    </row>
    <row r="456" spans="1:6" x14ac:dyDescent="0.25">
      <c r="A456" s="1">
        <v>39435</v>
      </c>
      <c r="B456">
        <v>7820</v>
      </c>
      <c r="C456">
        <v>8025</v>
      </c>
      <c r="D456">
        <v>7820</v>
      </c>
      <c r="E456">
        <v>8012</v>
      </c>
      <c r="F456">
        <v>7950.6</v>
      </c>
    </row>
    <row r="457" spans="1:6" x14ac:dyDescent="0.25">
      <c r="A457" s="1">
        <v>39436</v>
      </c>
      <c r="B457">
        <v>8017</v>
      </c>
      <c r="C457">
        <v>8027</v>
      </c>
      <c r="D457">
        <v>7791</v>
      </c>
      <c r="E457">
        <v>7842</v>
      </c>
      <c r="F457">
        <v>7897.4</v>
      </c>
    </row>
    <row r="458" spans="1:6" x14ac:dyDescent="0.25">
      <c r="A458" s="1">
        <v>39437</v>
      </c>
      <c r="B458">
        <v>7854</v>
      </c>
      <c r="C458">
        <v>8030</v>
      </c>
      <c r="D458">
        <v>7808</v>
      </c>
      <c r="E458">
        <v>7972</v>
      </c>
      <c r="F458">
        <v>7879.8</v>
      </c>
    </row>
    <row r="459" spans="1:6" x14ac:dyDescent="0.25">
      <c r="A459" s="1">
        <v>39440</v>
      </c>
      <c r="B459">
        <v>8110</v>
      </c>
      <c r="C459">
        <v>8137</v>
      </c>
      <c r="D459">
        <v>8066</v>
      </c>
      <c r="E459">
        <v>8135</v>
      </c>
      <c r="F459">
        <v>7956</v>
      </c>
    </row>
    <row r="460" spans="1:6" x14ac:dyDescent="0.25">
      <c r="A460" s="1">
        <v>39441</v>
      </c>
      <c r="B460">
        <v>8175</v>
      </c>
      <c r="C460">
        <v>8178</v>
      </c>
      <c r="D460">
        <v>8105</v>
      </c>
      <c r="E460">
        <v>8150</v>
      </c>
      <c r="F460">
        <v>8022.2</v>
      </c>
    </row>
    <row r="461" spans="1:6" x14ac:dyDescent="0.25">
      <c r="A461" s="1">
        <v>39442</v>
      </c>
      <c r="B461">
        <v>8120</v>
      </c>
      <c r="C461">
        <v>8192</v>
      </c>
      <c r="D461">
        <v>8051</v>
      </c>
      <c r="E461">
        <v>8190</v>
      </c>
      <c r="F461">
        <v>8057.8</v>
      </c>
    </row>
    <row r="462" spans="1:6" x14ac:dyDescent="0.25">
      <c r="A462" s="1">
        <v>39443</v>
      </c>
      <c r="B462">
        <v>8155</v>
      </c>
      <c r="C462">
        <v>8356</v>
      </c>
      <c r="D462">
        <v>8148</v>
      </c>
      <c r="E462">
        <v>8325</v>
      </c>
      <c r="F462">
        <v>8154.4</v>
      </c>
    </row>
    <row r="463" spans="1:6" x14ac:dyDescent="0.25">
      <c r="A463" s="1">
        <v>39444</v>
      </c>
      <c r="B463">
        <v>8268</v>
      </c>
      <c r="C463">
        <v>8427</v>
      </c>
      <c r="D463">
        <v>8237</v>
      </c>
      <c r="E463">
        <v>8393</v>
      </c>
      <c r="F463">
        <v>8238.6</v>
      </c>
    </row>
    <row r="464" spans="1:6" x14ac:dyDescent="0.25">
      <c r="A464" s="1">
        <v>39447</v>
      </c>
      <c r="B464">
        <v>8395</v>
      </c>
      <c r="C464">
        <v>8503</v>
      </c>
      <c r="D464">
        <v>8393</v>
      </c>
      <c r="E464">
        <v>8488</v>
      </c>
      <c r="F464">
        <v>8309.2000000000007</v>
      </c>
    </row>
    <row r="465" spans="1:6" x14ac:dyDescent="0.25">
      <c r="A465" s="1">
        <v>39449</v>
      </c>
      <c r="B465">
        <v>8453</v>
      </c>
      <c r="C465">
        <v>8508</v>
      </c>
      <c r="D465">
        <v>8272</v>
      </c>
      <c r="E465">
        <v>8290</v>
      </c>
      <c r="F465">
        <v>8337.2000000000007</v>
      </c>
    </row>
    <row r="466" spans="1:6" x14ac:dyDescent="0.25">
      <c r="A466" s="1">
        <v>39450</v>
      </c>
      <c r="B466">
        <v>8180</v>
      </c>
      <c r="C466">
        <v>8224</v>
      </c>
      <c r="D466">
        <v>8083</v>
      </c>
      <c r="E466">
        <v>8145</v>
      </c>
      <c r="F466">
        <v>8328.2000000000007</v>
      </c>
    </row>
    <row r="467" spans="1:6" x14ac:dyDescent="0.25">
      <c r="A467" s="1">
        <v>39451</v>
      </c>
      <c r="B467">
        <v>8101</v>
      </c>
      <c r="C467">
        <v>8244</v>
      </c>
      <c r="D467">
        <v>8032</v>
      </c>
      <c r="E467">
        <v>8215</v>
      </c>
      <c r="F467">
        <v>8306.2000000000007</v>
      </c>
    </row>
    <row r="468" spans="1:6" x14ac:dyDescent="0.25">
      <c r="A468" s="1">
        <v>39454</v>
      </c>
      <c r="B468">
        <v>7990</v>
      </c>
      <c r="C468">
        <v>7999</v>
      </c>
      <c r="D468">
        <v>7800</v>
      </c>
      <c r="E468">
        <v>7825</v>
      </c>
      <c r="F468">
        <v>8192.6</v>
      </c>
    </row>
    <row r="469" spans="1:6" x14ac:dyDescent="0.25">
      <c r="A469" s="1">
        <v>39455</v>
      </c>
      <c r="B469">
        <v>7826</v>
      </c>
      <c r="C469">
        <v>7963</v>
      </c>
      <c r="D469">
        <v>7813</v>
      </c>
      <c r="E469">
        <v>7920</v>
      </c>
      <c r="F469">
        <v>8079</v>
      </c>
    </row>
    <row r="470" spans="1:6" x14ac:dyDescent="0.25">
      <c r="A470" s="1">
        <v>39456</v>
      </c>
      <c r="B470">
        <v>7705</v>
      </c>
      <c r="C470">
        <v>8105</v>
      </c>
      <c r="D470">
        <v>7705</v>
      </c>
      <c r="E470">
        <v>8094</v>
      </c>
      <c r="F470">
        <v>8039.8</v>
      </c>
    </row>
    <row r="471" spans="1:6" x14ac:dyDescent="0.25">
      <c r="A471" s="1">
        <v>39457</v>
      </c>
      <c r="B471">
        <v>8120</v>
      </c>
      <c r="C471">
        <v>8155</v>
      </c>
      <c r="D471">
        <v>8052</v>
      </c>
      <c r="E471">
        <v>8077</v>
      </c>
      <c r="F471">
        <v>8026.2</v>
      </c>
    </row>
    <row r="472" spans="1:6" x14ac:dyDescent="0.25">
      <c r="A472" s="1">
        <v>39458</v>
      </c>
      <c r="B472">
        <v>8122</v>
      </c>
      <c r="C472">
        <v>8158</v>
      </c>
      <c r="D472">
        <v>7961</v>
      </c>
      <c r="E472">
        <v>7970</v>
      </c>
      <c r="F472">
        <v>7977.2</v>
      </c>
    </row>
    <row r="473" spans="1:6" x14ac:dyDescent="0.25">
      <c r="A473" s="1">
        <v>39461</v>
      </c>
      <c r="B473">
        <v>8100</v>
      </c>
      <c r="C473">
        <v>8258</v>
      </c>
      <c r="D473">
        <v>8044</v>
      </c>
      <c r="E473">
        <v>8249</v>
      </c>
      <c r="F473">
        <v>8062</v>
      </c>
    </row>
    <row r="474" spans="1:6" x14ac:dyDescent="0.25">
      <c r="A474" s="1">
        <v>39462</v>
      </c>
      <c r="B474">
        <v>8290</v>
      </c>
      <c r="C474">
        <v>8636</v>
      </c>
      <c r="D474">
        <v>8275</v>
      </c>
      <c r="E474">
        <v>8500</v>
      </c>
      <c r="F474">
        <v>8178</v>
      </c>
    </row>
    <row r="475" spans="1:6" x14ac:dyDescent="0.25">
      <c r="A475" s="1">
        <v>39463</v>
      </c>
      <c r="B475">
        <v>8350</v>
      </c>
      <c r="C475">
        <v>8407</v>
      </c>
      <c r="D475">
        <v>8125</v>
      </c>
      <c r="E475">
        <v>8145</v>
      </c>
      <c r="F475">
        <v>8188.2</v>
      </c>
    </row>
    <row r="476" spans="1:6" x14ac:dyDescent="0.25">
      <c r="A476" s="1">
        <v>39464</v>
      </c>
      <c r="B476">
        <v>8250</v>
      </c>
      <c r="C476">
        <v>8280</v>
      </c>
      <c r="D476">
        <v>7953</v>
      </c>
      <c r="E476">
        <v>8088</v>
      </c>
      <c r="F476">
        <v>8190.4</v>
      </c>
    </row>
    <row r="477" spans="1:6" x14ac:dyDescent="0.25">
      <c r="A477" s="1">
        <v>39465</v>
      </c>
      <c r="B477">
        <v>7890</v>
      </c>
      <c r="C477">
        <v>8238</v>
      </c>
      <c r="D477">
        <v>7855</v>
      </c>
      <c r="E477">
        <v>8223</v>
      </c>
      <c r="F477">
        <v>8241</v>
      </c>
    </row>
    <row r="478" spans="1:6" x14ac:dyDescent="0.25">
      <c r="A478" s="1">
        <v>39468</v>
      </c>
      <c r="B478">
        <v>8126</v>
      </c>
      <c r="C478">
        <v>8208</v>
      </c>
      <c r="D478">
        <v>8070</v>
      </c>
      <c r="E478">
        <v>8110</v>
      </c>
      <c r="F478">
        <v>8213.2000000000007</v>
      </c>
    </row>
    <row r="479" spans="1:6" x14ac:dyDescent="0.25">
      <c r="A479" s="1">
        <v>39469</v>
      </c>
      <c r="B479">
        <v>7650</v>
      </c>
      <c r="C479">
        <v>7700</v>
      </c>
      <c r="D479">
        <v>7543</v>
      </c>
      <c r="E479">
        <v>7543</v>
      </c>
      <c r="F479">
        <v>8021.8</v>
      </c>
    </row>
    <row r="480" spans="1:6" x14ac:dyDescent="0.25">
      <c r="A480" s="1">
        <v>39470</v>
      </c>
      <c r="B480">
        <v>7673</v>
      </c>
      <c r="C480">
        <v>7741</v>
      </c>
      <c r="D480">
        <v>7322</v>
      </c>
      <c r="E480">
        <v>7330</v>
      </c>
      <c r="F480">
        <v>7858.8</v>
      </c>
    </row>
    <row r="481" spans="1:6" x14ac:dyDescent="0.25">
      <c r="A481" s="1">
        <v>39471</v>
      </c>
      <c r="B481">
        <v>7530</v>
      </c>
      <c r="C481">
        <v>7642</v>
      </c>
      <c r="D481">
        <v>7390</v>
      </c>
      <c r="E481">
        <v>7540</v>
      </c>
      <c r="F481">
        <v>7749.2</v>
      </c>
    </row>
    <row r="482" spans="1:6" x14ac:dyDescent="0.25">
      <c r="A482" s="1">
        <v>39472</v>
      </c>
      <c r="B482">
        <v>7650</v>
      </c>
      <c r="C482">
        <v>7772</v>
      </c>
      <c r="D482">
        <v>7644</v>
      </c>
      <c r="E482">
        <v>7772</v>
      </c>
      <c r="F482">
        <v>7659</v>
      </c>
    </row>
    <row r="483" spans="1:6" x14ac:dyDescent="0.25">
      <c r="A483" s="1">
        <v>39475</v>
      </c>
      <c r="B483">
        <v>7685</v>
      </c>
      <c r="C483">
        <v>7710</v>
      </c>
      <c r="D483">
        <v>7406</v>
      </c>
      <c r="E483">
        <v>7446</v>
      </c>
      <c r="F483">
        <v>7526.2</v>
      </c>
    </row>
    <row r="484" spans="1:6" x14ac:dyDescent="0.25">
      <c r="A484" s="1">
        <v>39476</v>
      </c>
      <c r="B484">
        <v>7596</v>
      </c>
      <c r="C484">
        <v>7600</v>
      </c>
      <c r="D484">
        <v>7418</v>
      </c>
      <c r="E484">
        <v>7530</v>
      </c>
      <c r="F484">
        <v>7523.6</v>
      </c>
    </row>
    <row r="485" spans="1:6" x14ac:dyDescent="0.25">
      <c r="A485" s="1">
        <v>39477</v>
      </c>
      <c r="B485">
        <v>7526</v>
      </c>
      <c r="C485">
        <v>7652</v>
      </c>
      <c r="D485">
        <v>7452</v>
      </c>
      <c r="E485">
        <v>7515</v>
      </c>
      <c r="F485">
        <v>7560.6</v>
      </c>
    </row>
    <row r="486" spans="1:6" x14ac:dyDescent="0.25">
      <c r="A486" s="1">
        <v>39478</v>
      </c>
      <c r="B486">
        <v>7490</v>
      </c>
      <c r="C486">
        <v>7565</v>
      </c>
      <c r="D486">
        <v>7336</v>
      </c>
      <c r="E486">
        <v>7469</v>
      </c>
      <c r="F486">
        <v>7546.4</v>
      </c>
    </row>
    <row r="487" spans="1:6" x14ac:dyDescent="0.25">
      <c r="A487" s="1">
        <v>39479</v>
      </c>
      <c r="B487">
        <v>7580</v>
      </c>
      <c r="C487">
        <v>7678</v>
      </c>
      <c r="D487">
        <v>7540</v>
      </c>
      <c r="E487">
        <v>7670</v>
      </c>
      <c r="F487">
        <v>7526</v>
      </c>
    </row>
    <row r="488" spans="1:6" x14ac:dyDescent="0.25">
      <c r="A488" s="1">
        <v>39490</v>
      </c>
      <c r="B488">
        <v>7550</v>
      </c>
      <c r="C488">
        <v>7586</v>
      </c>
      <c r="D488">
        <v>7462</v>
      </c>
      <c r="E488">
        <v>7502</v>
      </c>
      <c r="F488">
        <v>7537.2</v>
      </c>
    </row>
    <row r="489" spans="1:6" x14ac:dyDescent="0.25">
      <c r="A489" s="1">
        <v>39491</v>
      </c>
      <c r="B489">
        <v>7575</v>
      </c>
      <c r="C489">
        <v>7609</v>
      </c>
      <c r="D489">
        <v>7482</v>
      </c>
      <c r="E489">
        <v>7492</v>
      </c>
      <c r="F489">
        <v>7529.6</v>
      </c>
    </row>
    <row r="490" spans="1:6" x14ac:dyDescent="0.25">
      <c r="A490" s="1">
        <v>39492</v>
      </c>
      <c r="B490">
        <v>7653</v>
      </c>
      <c r="C490">
        <v>7912</v>
      </c>
      <c r="D490">
        <v>7650</v>
      </c>
      <c r="E490">
        <v>7900</v>
      </c>
      <c r="F490">
        <v>7606.6</v>
      </c>
    </row>
    <row r="491" spans="1:6" x14ac:dyDescent="0.25">
      <c r="A491" s="1">
        <v>39493</v>
      </c>
      <c r="B491">
        <v>7800</v>
      </c>
      <c r="C491">
        <v>7895</v>
      </c>
      <c r="D491">
        <v>7760</v>
      </c>
      <c r="E491">
        <v>7888</v>
      </c>
      <c r="F491">
        <v>7690.4</v>
      </c>
    </row>
    <row r="492" spans="1:6" x14ac:dyDescent="0.25">
      <c r="A492" s="1">
        <v>39496</v>
      </c>
      <c r="B492">
        <v>7952</v>
      </c>
      <c r="C492">
        <v>7995</v>
      </c>
      <c r="D492">
        <v>7840</v>
      </c>
      <c r="E492">
        <v>7910</v>
      </c>
      <c r="F492">
        <v>7738.4</v>
      </c>
    </row>
    <row r="493" spans="1:6" x14ac:dyDescent="0.25">
      <c r="A493" s="1">
        <v>39497</v>
      </c>
      <c r="B493">
        <v>7966</v>
      </c>
      <c r="C493">
        <v>8034</v>
      </c>
      <c r="D493">
        <v>7938</v>
      </c>
      <c r="E493">
        <v>8025</v>
      </c>
      <c r="F493">
        <v>7843</v>
      </c>
    </row>
    <row r="494" spans="1:6" x14ac:dyDescent="0.25">
      <c r="A494" s="1">
        <v>39498</v>
      </c>
      <c r="B494">
        <v>7950</v>
      </c>
      <c r="C494">
        <v>8007</v>
      </c>
      <c r="D494">
        <v>7825</v>
      </c>
      <c r="E494">
        <v>7872</v>
      </c>
      <c r="F494">
        <v>7919</v>
      </c>
    </row>
    <row r="495" spans="1:6" x14ac:dyDescent="0.25">
      <c r="A495" s="1">
        <v>39499</v>
      </c>
      <c r="B495">
        <v>7920</v>
      </c>
      <c r="C495">
        <v>8057</v>
      </c>
      <c r="D495">
        <v>7913</v>
      </c>
      <c r="E495">
        <v>8028</v>
      </c>
      <c r="F495">
        <v>7944.6</v>
      </c>
    </row>
    <row r="496" spans="1:6" x14ac:dyDescent="0.25">
      <c r="A496" s="1">
        <v>39500</v>
      </c>
      <c r="B496">
        <v>7958</v>
      </c>
      <c r="C496">
        <v>8053</v>
      </c>
      <c r="D496">
        <v>7925</v>
      </c>
      <c r="E496">
        <v>8039</v>
      </c>
      <c r="F496">
        <v>7974.8</v>
      </c>
    </row>
    <row r="497" spans="1:6" x14ac:dyDescent="0.25">
      <c r="A497" s="1">
        <v>39503</v>
      </c>
      <c r="B497">
        <v>8158</v>
      </c>
      <c r="C497">
        <v>8273</v>
      </c>
      <c r="D497">
        <v>8153</v>
      </c>
      <c r="E497">
        <v>8229</v>
      </c>
      <c r="F497">
        <v>8038.6</v>
      </c>
    </row>
    <row r="498" spans="1:6" x14ac:dyDescent="0.25">
      <c r="A498" s="1">
        <v>39504</v>
      </c>
      <c r="B498">
        <v>8300</v>
      </c>
      <c r="C498">
        <v>8316</v>
      </c>
      <c r="D498">
        <v>8203</v>
      </c>
      <c r="E498">
        <v>8276</v>
      </c>
      <c r="F498">
        <v>8088.8</v>
      </c>
    </row>
    <row r="499" spans="1:6" x14ac:dyDescent="0.25">
      <c r="A499" s="1">
        <v>39505</v>
      </c>
      <c r="B499">
        <v>8379</v>
      </c>
      <c r="C499">
        <v>8415</v>
      </c>
      <c r="D499">
        <v>8311</v>
      </c>
      <c r="E499">
        <v>8374</v>
      </c>
      <c r="F499">
        <v>8189.2</v>
      </c>
    </row>
    <row r="500" spans="1:6" x14ac:dyDescent="0.25">
      <c r="A500" s="1">
        <v>39507</v>
      </c>
      <c r="B500">
        <v>8320</v>
      </c>
      <c r="C500">
        <v>8450</v>
      </c>
      <c r="D500">
        <v>8293</v>
      </c>
      <c r="E500">
        <v>8346</v>
      </c>
      <c r="F500">
        <v>8252.7999999999993</v>
      </c>
    </row>
    <row r="501" spans="1:6" x14ac:dyDescent="0.25">
      <c r="A501" s="1">
        <v>39510</v>
      </c>
      <c r="B501">
        <v>8168</v>
      </c>
      <c r="C501">
        <v>8255</v>
      </c>
      <c r="D501">
        <v>8106</v>
      </c>
      <c r="E501">
        <v>8254</v>
      </c>
      <c r="F501">
        <v>8295.7999999999993</v>
      </c>
    </row>
    <row r="502" spans="1:6" x14ac:dyDescent="0.25">
      <c r="A502" s="1">
        <v>39511</v>
      </c>
      <c r="B502">
        <v>8268</v>
      </c>
      <c r="C502">
        <v>8498</v>
      </c>
      <c r="D502">
        <v>8230</v>
      </c>
      <c r="E502">
        <v>8493</v>
      </c>
      <c r="F502">
        <v>8348.6</v>
      </c>
    </row>
    <row r="503" spans="1:6" x14ac:dyDescent="0.25">
      <c r="A503" s="1">
        <v>39512</v>
      </c>
      <c r="B503">
        <v>8520</v>
      </c>
      <c r="C503">
        <v>8558</v>
      </c>
      <c r="D503">
        <v>8416</v>
      </c>
      <c r="E503">
        <v>8515</v>
      </c>
      <c r="F503">
        <v>8396.4</v>
      </c>
    </row>
    <row r="504" spans="1:6" x14ac:dyDescent="0.25">
      <c r="A504" s="1">
        <v>39513</v>
      </c>
      <c r="B504">
        <v>8540</v>
      </c>
      <c r="C504">
        <v>8690</v>
      </c>
      <c r="D504">
        <v>8521</v>
      </c>
      <c r="E504">
        <v>8690</v>
      </c>
      <c r="F504">
        <v>8459.6</v>
      </c>
    </row>
    <row r="505" spans="1:6" x14ac:dyDescent="0.25">
      <c r="A505" s="1">
        <v>39514</v>
      </c>
      <c r="B505">
        <v>8548</v>
      </c>
      <c r="C505">
        <v>8647</v>
      </c>
      <c r="D505">
        <v>8512</v>
      </c>
      <c r="E505">
        <v>8525</v>
      </c>
      <c r="F505">
        <v>8495.4</v>
      </c>
    </row>
    <row r="506" spans="1:6" x14ac:dyDescent="0.25">
      <c r="A506" s="1">
        <v>39517</v>
      </c>
      <c r="B506">
        <v>8488</v>
      </c>
      <c r="C506">
        <v>8544</v>
      </c>
      <c r="D506">
        <v>8253</v>
      </c>
      <c r="E506">
        <v>8314</v>
      </c>
      <c r="F506">
        <v>8507.4</v>
      </c>
    </row>
    <row r="507" spans="1:6" x14ac:dyDescent="0.25">
      <c r="A507" s="1">
        <v>39518</v>
      </c>
      <c r="B507">
        <v>8240</v>
      </c>
      <c r="C507">
        <v>8390</v>
      </c>
      <c r="D507">
        <v>8182</v>
      </c>
      <c r="E507">
        <v>8370</v>
      </c>
      <c r="F507">
        <v>8482.7999999999993</v>
      </c>
    </row>
    <row r="508" spans="1:6" x14ac:dyDescent="0.25">
      <c r="A508" s="1">
        <v>39519</v>
      </c>
      <c r="B508">
        <v>8588</v>
      </c>
      <c r="C508">
        <v>8609</v>
      </c>
      <c r="D508">
        <v>8405</v>
      </c>
      <c r="E508">
        <v>8469</v>
      </c>
      <c r="F508">
        <v>8473.6</v>
      </c>
    </row>
    <row r="509" spans="1:6" x14ac:dyDescent="0.25">
      <c r="A509" s="1">
        <v>39520</v>
      </c>
      <c r="B509">
        <v>8421</v>
      </c>
      <c r="C509">
        <v>8448</v>
      </c>
      <c r="D509">
        <v>8161</v>
      </c>
      <c r="E509">
        <v>8192</v>
      </c>
      <c r="F509">
        <v>8374</v>
      </c>
    </row>
    <row r="510" spans="1:6" x14ac:dyDescent="0.25">
      <c r="A510" s="1">
        <v>39521</v>
      </c>
      <c r="B510">
        <v>8250</v>
      </c>
      <c r="C510">
        <v>8296</v>
      </c>
      <c r="D510">
        <v>8082</v>
      </c>
      <c r="E510">
        <v>8111</v>
      </c>
      <c r="F510">
        <v>8291.2000000000007</v>
      </c>
    </row>
    <row r="511" spans="1:6" x14ac:dyDescent="0.25">
      <c r="A511" s="1">
        <v>39524</v>
      </c>
      <c r="B511">
        <v>7925</v>
      </c>
      <c r="C511">
        <v>8054</v>
      </c>
      <c r="D511">
        <v>7850</v>
      </c>
      <c r="E511">
        <v>7985</v>
      </c>
      <c r="F511">
        <v>8225.4</v>
      </c>
    </row>
    <row r="512" spans="1:6" x14ac:dyDescent="0.25">
      <c r="A512" s="1">
        <v>39525</v>
      </c>
      <c r="B512">
        <v>8045</v>
      </c>
      <c r="C512">
        <v>8068</v>
      </c>
      <c r="D512">
        <v>7915</v>
      </c>
      <c r="E512">
        <v>8057</v>
      </c>
      <c r="F512">
        <v>8162.8</v>
      </c>
    </row>
    <row r="513" spans="1:6" x14ac:dyDescent="0.25">
      <c r="A513" s="1">
        <v>39526</v>
      </c>
      <c r="B513">
        <v>8230</v>
      </c>
      <c r="C513">
        <v>8273</v>
      </c>
      <c r="D513">
        <v>8122</v>
      </c>
      <c r="E513">
        <v>8164</v>
      </c>
      <c r="F513">
        <v>8101.8</v>
      </c>
    </row>
    <row r="514" spans="1:6" x14ac:dyDescent="0.25">
      <c r="A514" s="1">
        <v>39527</v>
      </c>
      <c r="B514">
        <v>8059</v>
      </c>
      <c r="C514">
        <v>8358</v>
      </c>
      <c r="D514">
        <v>8050</v>
      </c>
      <c r="E514">
        <v>8339</v>
      </c>
      <c r="F514">
        <v>8131.2</v>
      </c>
    </row>
    <row r="515" spans="1:6" x14ac:dyDescent="0.25">
      <c r="A515" s="1">
        <v>39528</v>
      </c>
      <c r="B515">
        <v>8400</v>
      </c>
      <c r="C515">
        <v>8638</v>
      </c>
      <c r="D515">
        <v>8374</v>
      </c>
      <c r="E515">
        <v>8627</v>
      </c>
      <c r="F515">
        <v>8234.4</v>
      </c>
    </row>
    <row r="516" spans="1:6" x14ac:dyDescent="0.25">
      <c r="A516" s="1">
        <v>39531</v>
      </c>
      <c r="B516">
        <v>9000</v>
      </c>
      <c r="C516">
        <v>9115</v>
      </c>
      <c r="D516">
        <v>8801</v>
      </c>
      <c r="E516">
        <v>8892</v>
      </c>
      <c r="F516">
        <v>8415.7999999999993</v>
      </c>
    </row>
    <row r="517" spans="1:6" x14ac:dyDescent="0.25">
      <c r="A517" s="1">
        <v>39532</v>
      </c>
      <c r="B517">
        <v>8990</v>
      </c>
      <c r="C517">
        <v>8990</v>
      </c>
      <c r="D517">
        <v>8722</v>
      </c>
      <c r="E517">
        <v>8760</v>
      </c>
      <c r="F517">
        <v>8556.4</v>
      </c>
    </row>
    <row r="518" spans="1:6" x14ac:dyDescent="0.25">
      <c r="A518" s="1">
        <v>39533</v>
      </c>
      <c r="B518">
        <v>8767</v>
      </c>
      <c r="C518">
        <v>8838</v>
      </c>
      <c r="D518">
        <v>8685</v>
      </c>
      <c r="E518">
        <v>8722</v>
      </c>
      <c r="F518">
        <v>8668</v>
      </c>
    </row>
    <row r="519" spans="1:6" x14ac:dyDescent="0.25">
      <c r="A519" s="1">
        <v>39534</v>
      </c>
      <c r="B519">
        <v>8693</v>
      </c>
      <c r="C519">
        <v>8710</v>
      </c>
      <c r="D519">
        <v>8520</v>
      </c>
      <c r="E519">
        <v>8552</v>
      </c>
      <c r="F519">
        <v>8710.6</v>
      </c>
    </row>
    <row r="520" spans="1:6" x14ac:dyDescent="0.25">
      <c r="A520" s="1">
        <v>39535</v>
      </c>
      <c r="B520">
        <v>8520</v>
      </c>
      <c r="C520">
        <v>8671</v>
      </c>
      <c r="D520">
        <v>8512</v>
      </c>
      <c r="E520">
        <v>8620</v>
      </c>
      <c r="F520">
        <v>8709.2000000000007</v>
      </c>
    </row>
    <row r="521" spans="1:6" x14ac:dyDescent="0.25">
      <c r="A521" s="1">
        <v>39538</v>
      </c>
      <c r="B521">
        <v>8590</v>
      </c>
      <c r="C521">
        <v>8605</v>
      </c>
      <c r="D521">
        <v>8451</v>
      </c>
      <c r="E521">
        <v>8517</v>
      </c>
      <c r="F521">
        <v>8634.2000000000007</v>
      </c>
    </row>
    <row r="522" spans="1:6" x14ac:dyDescent="0.25">
      <c r="A522" s="1">
        <v>39539</v>
      </c>
      <c r="B522">
        <v>8560</v>
      </c>
      <c r="C522">
        <v>8595</v>
      </c>
      <c r="D522">
        <v>8322</v>
      </c>
      <c r="E522">
        <v>8327</v>
      </c>
      <c r="F522">
        <v>8547.6</v>
      </c>
    </row>
    <row r="523" spans="1:6" x14ac:dyDescent="0.25">
      <c r="A523" s="1">
        <v>39540</v>
      </c>
      <c r="B523">
        <v>8505</v>
      </c>
      <c r="C523">
        <v>8618</v>
      </c>
      <c r="D523">
        <v>8464</v>
      </c>
      <c r="E523">
        <v>8575</v>
      </c>
      <c r="F523">
        <v>8518.2000000000007</v>
      </c>
    </row>
    <row r="524" spans="1:6" x14ac:dyDescent="0.25">
      <c r="A524" s="1">
        <v>39541</v>
      </c>
      <c r="B524">
        <v>8590</v>
      </c>
      <c r="C524">
        <v>8616</v>
      </c>
      <c r="D524">
        <v>8528</v>
      </c>
      <c r="E524">
        <v>8575</v>
      </c>
      <c r="F524">
        <v>8522.7999999999993</v>
      </c>
    </row>
    <row r="525" spans="1:6" x14ac:dyDescent="0.25">
      <c r="A525" s="1">
        <v>39545</v>
      </c>
      <c r="B525">
        <v>8601</v>
      </c>
      <c r="C525">
        <v>8743</v>
      </c>
      <c r="D525">
        <v>8592</v>
      </c>
      <c r="E525">
        <v>8712</v>
      </c>
      <c r="F525">
        <v>8541.2000000000007</v>
      </c>
    </row>
    <row r="526" spans="1:6" x14ac:dyDescent="0.25">
      <c r="A526" s="1">
        <v>39546</v>
      </c>
      <c r="B526">
        <v>8657</v>
      </c>
      <c r="C526">
        <v>8703</v>
      </c>
      <c r="D526">
        <v>8632</v>
      </c>
      <c r="E526">
        <v>8639</v>
      </c>
      <c r="F526">
        <v>8565.6</v>
      </c>
    </row>
    <row r="527" spans="1:6" x14ac:dyDescent="0.25">
      <c r="A527" s="1">
        <v>39547</v>
      </c>
      <c r="B527">
        <v>8670</v>
      </c>
      <c r="C527">
        <v>8780</v>
      </c>
      <c r="D527">
        <v>8590</v>
      </c>
      <c r="E527">
        <v>8675</v>
      </c>
      <c r="F527">
        <v>8635.2000000000007</v>
      </c>
    </row>
    <row r="528" spans="1:6" x14ac:dyDescent="0.25">
      <c r="A528" s="1">
        <v>39548</v>
      </c>
      <c r="B528">
        <v>8660</v>
      </c>
      <c r="C528">
        <v>8825</v>
      </c>
      <c r="D528">
        <v>8647</v>
      </c>
      <c r="E528">
        <v>8813</v>
      </c>
      <c r="F528">
        <v>8682.7999999999993</v>
      </c>
    </row>
    <row r="529" spans="1:6" x14ac:dyDescent="0.25">
      <c r="A529" s="1">
        <v>39549</v>
      </c>
      <c r="B529">
        <v>8844</v>
      </c>
      <c r="C529">
        <v>8933</v>
      </c>
      <c r="D529">
        <v>8801</v>
      </c>
      <c r="E529">
        <v>8912</v>
      </c>
      <c r="F529">
        <v>8750.2000000000007</v>
      </c>
    </row>
    <row r="530" spans="1:6" x14ac:dyDescent="0.25">
      <c r="A530" s="1">
        <v>39552</v>
      </c>
      <c r="B530">
        <v>8841</v>
      </c>
      <c r="C530">
        <v>8910</v>
      </c>
      <c r="D530">
        <v>8801</v>
      </c>
      <c r="E530">
        <v>8871</v>
      </c>
      <c r="F530">
        <v>8782</v>
      </c>
    </row>
    <row r="531" spans="1:6" x14ac:dyDescent="0.25">
      <c r="A531" s="1">
        <v>39553</v>
      </c>
      <c r="B531">
        <v>8880</v>
      </c>
      <c r="C531">
        <v>8940</v>
      </c>
      <c r="D531">
        <v>8852</v>
      </c>
      <c r="E531">
        <v>8918</v>
      </c>
      <c r="F531">
        <v>8837.7999999999993</v>
      </c>
    </row>
    <row r="532" spans="1:6" x14ac:dyDescent="0.25">
      <c r="A532" s="1">
        <v>39554</v>
      </c>
      <c r="B532">
        <v>8968</v>
      </c>
      <c r="C532">
        <v>9092</v>
      </c>
      <c r="D532">
        <v>8962</v>
      </c>
      <c r="E532">
        <v>9084</v>
      </c>
      <c r="F532">
        <v>8919.6</v>
      </c>
    </row>
    <row r="533" spans="1:6" x14ac:dyDescent="0.25">
      <c r="A533" s="1">
        <v>39555</v>
      </c>
      <c r="B533">
        <v>9145</v>
      </c>
      <c r="C533">
        <v>9150</v>
      </c>
      <c r="D533">
        <v>9037</v>
      </c>
      <c r="E533">
        <v>9065</v>
      </c>
      <c r="F533">
        <v>8970</v>
      </c>
    </row>
    <row r="534" spans="1:6" x14ac:dyDescent="0.25">
      <c r="A534" s="1">
        <v>39556</v>
      </c>
      <c r="B534">
        <v>9080</v>
      </c>
      <c r="C534">
        <v>9099</v>
      </c>
      <c r="D534">
        <v>9000</v>
      </c>
      <c r="E534">
        <v>9085</v>
      </c>
      <c r="F534">
        <v>9004.6</v>
      </c>
    </row>
    <row r="535" spans="1:6" x14ac:dyDescent="0.25">
      <c r="A535" s="1">
        <v>39559</v>
      </c>
      <c r="B535">
        <v>9163</v>
      </c>
      <c r="C535">
        <v>9180</v>
      </c>
      <c r="D535">
        <v>9045</v>
      </c>
      <c r="E535">
        <v>9082</v>
      </c>
      <c r="F535">
        <v>9046.7999999999993</v>
      </c>
    </row>
    <row r="536" spans="1:6" x14ac:dyDescent="0.25">
      <c r="A536" s="1">
        <v>39560</v>
      </c>
      <c r="B536">
        <v>9067</v>
      </c>
      <c r="C536">
        <v>9076</v>
      </c>
      <c r="D536">
        <v>8977</v>
      </c>
      <c r="E536">
        <v>9028</v>
      </c>
      <c r="F536">
        <v>9068.7999999999993</v>
      </c>
    </row>
    <row r="537" spans="1:6" x14ac:dyDescent="0.25">
      <c r="A537" s="1">
        <v>39561</v>
      </c>
      <c r="B537">
        <v>9047</v>
      </c>
      <c r="C537">
        <v>9093</v>
      </c>
      <c r="D537">
        <v>8945</v>
      </c>
      <c r="E537">
        <v>8990</v>
      </c>
      <c r="F537">
        <v>9050</v>
      </c>
    </row>
    <row r="538" spans="1:6" x14ac:dyDescent="0.25">
      <c r="A538" s="1">
        <v>39562</v>
      </c>
      <c r="B538">
        <v>8970</v>
      </c>
      <c r="C538">
        <v>9043</v>
      </c>
      <c r="D538">
        <v>8954</v>
      </c>
      <c r="E538">
        <v>8977</v>
      </c>
      <c r="F538">
        <v>9032.4</v>
      </c>
    </row>
    <row r="539" spans="1:6" x14ac:dyDescent="0.25">
      <c r="A539" s="1">
        <v>39563</v>
      </c>
      <c r="B539">
        <v>9048</v>
      </c>
      <c r="C539">
        <v>9070</v>
      </c>
      <c r="D539">
        <v>8950</v>
      </c>
      <c r="E539">
        <v>8980</v>
      </c>
      <c r="F539">
        <v>9011.4</v>
      </c>
    </row>
    <row r="540" spans="1:6" x14ac:dyDescent="0.25">
      <c r="A540" s="1">
        <v>39566</v>
      </c>
      <c r="B540">
        <v>8998</v>
      </c>
      <c r="C540">
        <v>9095</v>
      </c>
      <c r="D540">
        <v>8972</v>
      </c>
      <c r="E540">
        <v>9095</v>
      </c>
      <c r="F540">
        <v>9014</v>
      </c>
    </row>
    <row r="541" spans="1:6" x14ac:dyDescent="0.25">
      <c r="A541" s="1">
        <v>39567</v>
      </c>
      <c r="B541">
        <v>9080</v>
      </c>
      <c r="C541">
        <v>9099</v>
      </c>
      <c r="D541">
        <v>8873</v>
      </c>
      <c r="E541">
        <v>8922</v>
      </c>
      <c r="F541">
        <v>8992.7999999999993</v>
      </c>
    </row>
    <row r="542" spans="1:6" x14ac:dyDescent="0.25">
      <c r="A542" s="1">
        <v>39568</v>
      </c>
      <c r="B542">
        <v>8916</v>
      </c>
      <c r="C542">
        <v>8985</v>
      </c>
      <c r="D542">
        <v>8893</v>
      </c>
      <c r="E542">
        <v>8934</v>
      </c>
      <c r="F542">
        <v>8981.6</v>
      </c>
    </row>
    <row r="543" spans="1:6" x14ac:dyDescent="0.25">
      <c r="A543" s="1">
        <v>39570</v>
      </c>
      <c r="B543">
        <v>9020</v>
      </c>
      <c r="C543">
        <v>9038</v>
      </c>
      <c r="D543">
        <v>8944</v>
      </c>
      <c r="E543">
        <v>9006</v>
      </c>
      <c r="F543">
        <v>8987.4</v>
      </c>
    </row>
    <row r="544" spans="1:6" x14ac:dyDescent="0.25">
      <c r="A544" s="1">
        <v>39573</v>
      </c>
      <c r="B544">
        <v>9007</v>
      </c>
      <c r="C544">
        <v>9018</v>
      </c>
      <c r="D544">
        <v>8821</v>
      </c>
      <c r="E544">
        <v>8845</v>
      </c>
      <c r="F544">
        <v>8960.4</v>
      </c>
    </row>
    <row r="545" spans="1:6" x14ac:dyDescent="0.25">
      <c r="A545" s="1">
        <v>39574</v>
      </c>
      <c r="B545">
        <v>8855</v>
      </c>
      <c r="C545">
        <v>8888</v>
      </c>
      <c r="D545">
        <v>8780</v>
      </c>
      <c r="E545">
        <v>8873</v>
      </c>
      <c r="F545">
        <v>8916</v>
      </c>
    </row>
    <row r="546" spans="1:6" x14ac:dyDescent="0.25">
      <c r="A546" s="1">
        <v>39575</v>
      </c>
      <c r="B546">
        <v>8900</v>
      </c>
      <c r="C546">
        <v>8975</v>
      </c>
      <c r="D546">
        <v>8881</v>
      </c>
      <c r="E546">
        <v>8921</v>
      </c>
      <c r="F546">
        <v>8915.7999999999993</v>
      </c>
    </row>
    <row r="547" spans="1:6" x14ac:dyDescent="0.25">
      <c r="A547" s="1">
        <v>39576</v>
      </c>
      <c r="B547">
        <v>8855</v>
      </c>
      <c r="C547">
        <v>8904</v>
      </c>
      <c r="D547">
        <v>8800</v>
      </c>
      <c r="E547">
        <v>8898</v>
      </c>
      <c r="F547">
        <v>8908.6</v>
      </c>
    </row>
    <row r="548" spans="1:6" x14ac:dyDescent="0.25">
      <c r="A548" s="1">
        <v>39577</v>
      </c>
      <c r="B548">
        <v>8870</v>
      </c>
      <c r="C548">
        <v>8878</v>
      </c>
      <c r="D548">
        <v>8765</v>
      </c>
      <c r="E548">
        <v>8769</v>
      </c>
      <c r="F548">
        <v>8861.2000000000007</v>
      </c>
    </row>
    <row r="549" spans="1:6" x14ac:dyDescent="0.25">
      <c r="A549" s="1">
        <v>39580</v>
      </c>
      <c r="B549">
        <v>8750</v>
      </c>
      <c r="C549">
        <v>8868</v>
      </c>
      <c r="D549">
        <v>8750</v>
      </c>
      <c r="E549">
        <v>8860</v>
      </c>
      <c r="F549">
        <v>8864.2000000000007</v>
      </c>
    </row>
    <row r="550" spans="1:6" x14ac:dyDescent="0.25">
      <c r="A550" s="1">
        <v>39581</v>
      </c>
      <c r="B550">
        <v>8860</v>
      </c>
      <c r="C550">
        <v>9044</v>
      </c>
      <c r="D550">
        <v>8850</v>
      </c>
      <c r="E550">
        <v>9031</v>
      </c>
      <c r="F550">
        <v>8895.7999999999993</v>
      </c>
    </row>
    <row r="551" spans="1:6" x14ac:dyDescent="0.25">
      <c r="A551" s="1">
        <v>39582</v>
      </c>
      <c r="B551">
        <v>9016</v>
      </c>
      <c r="C551">
        <v>9088</v>
      </c>
      <c r="D551">
        <v>9002</v>
      </c>
      <c r="E551">
        <v>9059</v>
      </c>
      <c r="F551">
        <v>8923.4</v>
      </c>
    </row>
    <row r="552" spans="1:6" x14ac:dyDescent="0.25">
      <c r="A552" s="1">
        <v>39583</v>
      </c>
      <c r="B552">
        <v>9087</v>
      </c>
      <c r="C552">
        <v>9209</v>
      </c>
      <c r="D552">
        <v>9081</v>
      </c>
      <c r="E552">
        <v>9181</v>
      </c>
      <c r="F552">
        <v>8980</v>
      </c>
    </row>
    <row r="553" spans="1:6" x14ac:dyDescent="0.25">
      <c r="A553" s="1">
        <v>39584</v>
      </c>
      <c r="B553">
        <v>9220</v>
      </c>
      <c r="C553">
        <v>9285</v>
      </c>
      <c r="D553">
        <v>9191</v>
      </c>
      <c r="E553">
        <v>9245</v>
      </c>
      <c r="F553">
        <v>9075.2000000000007</v>
      </c>
    </row>
    <row r="554" spans="1:6" x14ac:dyDescent="0.25">
      <c r="A554" s="1">
        <v>39587</v>
      </c>
      <c r="B554">
        <v>9276</v>
      </c>
      <c r="C554">
        <v>9379</v>
      </c>
      <c r="D554">
        <v>9241</v>
      </c>
      <c r="E554">
        <v>9378</v>
      </c>
      <c r="F554">
        <v>9178.7999999999993</v>
      </c>
    </row>
    <row r="555" spans="1:6" x14ac:dyDescent="0.25">
      <c r="A555" s="1">
        <v>39588</v>
      </c>
      <c r="B555">
        <v>9369</v>
      </c>
      <c r="C555">
        <v>9389</v>
      </c>
      <c r="D555">
        <v>9060</v>
      </c>
      <c r="E555">
        <v>9075</v>
      </c>
      <c r="F555">
        <v>9187.6</v>
      </c>
    </row>
    <row r="556" spans="1:6" x14ac:dyDescent="0.25">
      <c r="A556" s="1">
        <v>39589</v>
      </c>
      <c r="B556">
        <v>9015</v>
      </c>
      <c r="C556">
        <v>9089</v>
      </c>
      <c r="D556">
        <v>8958</v>
      </c>
      <c r="E556">
        <v>8998</v>
      </c>
      <c r="F556">
        <v>9175.4</v>
      </c>
    </row>
    <row r="557" spans="1:6" x14ac:dyDescent="0.25">
      <c r="A557" s="1">
        <v>39590</v>
      </c>
      <c r="B557">
        <v>8888</v>
      </c>
      <c r="C557">
        <v>9020</v>
      </c>
      <c r="D557">
        <v>8866</v>
      </c>
      <c r="E557">
        <v>9016</v>
      </c>
      <c r="F557">
        <v>9142.4</v>
      </c>
    </row>
    <row r="558" spans="1:6" x14ac:dyDescent="0.25">
      <c r="A558" s="1">
        <v>39591</v>
      </c>
      <c r="B558">
        <v>9008</v>
      </c>
      <c r="C558">
        <v>9027</v>
      </c>
      <c r="D558">
        <v>8780</v>
      </c>
      <c r="E558">
        <v>8789</v>
      </c>
      <c r="F558">
        <v>9051.2000000000007</v>
      </c>
    </row>
    <row r="559" spans="1:6" x14ac:dyDescent="0.25">
      <c r="A559" s="1">
        <v>39594</v>
      </c>
      <c r="B559">
        <v>8731</v>
      </c>
      <c r="C559">
        <v>8791</v>
      </c>
      <c r="D559">
        <v>8690</v>
      </c>
      <c r="E559">
        <v>8695</v>
      </c>
      <c r="F559">
        <v>8914.6</v>
      </c>
    </row>
    <row r="560" spans="1:6" x14ac:dyDescent="0.25">
      <c r="A560" s="1">
        <v>39595</v>
      </c>
      <c r="B560">
        <v>8740</v>
      </c>
      <c r="C560">
        <v>8784</v>
      </c>
      <c r="D560">
        <v>8706</v>
      </c>
      <c r="E560">
        <v>8771</v>
      </c>
      <c r="F560">
        <v>8853.7999999999993</v>
      </c>
    </row>
    <row r="561" spans="1:6" x14ac:dyDescent="0.25">
      <c r="A561" s="1">
        <v>39596</v>
      </c>
      <c r="B561">
        <v>8784</v>
      </c>
      <c r="C561">
        <v>8794</v>
      </c>
      <c r="D561">
        <v>8625</v>
      </c>
      <c r="E561">
        <v>8646</v>
      </c>
      <c r="F561">
        <v>8783.4</v>
      </c>
    </row>
    <row r="562" spans="1:6" x14ac:dyDescent="0.25">
      <c r="A562" s="1">
        <v>39597</v>
      </c>
      <c r="B562">
        <v>8720</v>
      </c>
      <c r="C562">
        <v>8770</v>
      </c>
      <c r="D562">
        <v>8651</v>
      </c>
      <c r="E562">
        <v>8720</v>
      </c>
      <c r="F562">
        <v>8724.2000000000007</v>
      </c>
    </row>
    <row r="563" spans="1:6" x14ac:dyDescent="0.25">
      <c r="A563" s="1">
        <v>39598</v>
      </c>
      <c r="B563">
        <v>8755</v>
      </c>
      <c r="C563">
        <v>8777</v>
      </c>
      <c r="D563">
        <v>8535</v>
      </c>
      <c r="E563">
        <v>8646</v>
      </c>
      <c r="F563">
        <v>8695.6</v>
      </c>
    </row>
    <row r="564" spans="1:6" x14ac:dyDescent="0.25">
      <c r="A564" s="1">
        <v>39601</v>
      </c>
      <c r="B564">
        <v>8604</v>
      </c>
      <c r="C564">
        <v>8710</v>
      </c>
      <c r="D564">
        <v>8600</v>
      </c>
      <c r="E564">
        <v>8703</v>
      </c>
      <c r="F564">
        <v>8697.2000000000007</v>
      </c>
    </row>
    <row r="565" spans="1:6" x14ac:dyDescent="0.25">
      <c r="A565" s="1">
        <v>39602</v>
      </c>
      <c r="B565">
        <v>8650</v>
      </c>
      <c r="C565">
        <v>8656</v>
      </c>
      <c r="D565">
        <v>8510</v>
      </c>
      <c r="E565">
        <v>8533</v>
      </c>
      <c r="F565">
        <v>8649.6</v>
      </c>
    </row>
    <row r="566" spans="1:6" x14ac:dyDescent="0.25">
      <c r="A566" s="1">
        <v>39603</v>
      </c>
      <c r="B566">
        <v>8541</v>
      </c>
      <c r="C566">
        <v>8616</v>
      </c>
      <c r="D566">
        <v>8525</v>
      </c>
      <c r="E566">
        <v>8593</v>
      </c>
      <c r="F566">
        <v>8639</v>
      </c>
    </row>
    <row r="567" spans="1:6" x14ac:dyDescent="0.25">
      <c r="A567" s="1">
        <v>39604</v>
      </c>
      <c r="B567">
        <v>8569</v>
      </c>
      <c r="C567">
        <v>8766</v>
      </c>
      <c r="D567">
        <v>8473</v>
      </c>
      <c r="E567">
        <v>8729</v>
      </c>
      <c r="F567">
        <v>8640.7999999999993</v>
      </c>
    </row>
    <row r="568" spans="1:6" x14ac:dyDescent="0.25">
      <c r="A568" s="1">
        <v>39605</v>
      </c>
      <c r="B568">
        <v>8777</v>
      </c>
      <c r="C568">
        <v>8797</v>
      </c>
      <c r="D568">
        <v>8715</v>
      </c>
      <c r="E568">
        <v>8743</v>
      </c>
      <c r="F568">
        <v>8660.2000000000007</v>
      </c>
    </row>
    <row r="569" spans="1:6" x14ac:dyDescent="0.25">
      <c r="A569" s="1">
        <v>39608</v>
      </c>
      <c r="B569">
        <v>8502</v>
      </c>
      <c r="C569">
        <v>8555</v>
      </c>
      <c r="D569">
        <v>8492</v>
      </c>
      <c r="E569">
        <v>8531</v>
      </c>
      <c r="F569">
        <v>8625.7999999999993</v>
      </c>
    </row>
    <row r="570" spans="1:6" x14ac:dyDescent="0.25">
      <c r="A570" s="1">
        <v>39609</v>
      </c>
      <c r="B570">
        <v>8540</v>
      </c>
      <c r="C570">
        <v>8566</v>
      </c>
      <c r="D570">
        <v>8321</v>
      </c>
      <c r="E570">
        <v>8338</v>
      </c>
      <c r="F570">
        <v>8586.7999999999993</v>
      </c>
    </row>
    <row r="571" spans="1:6" x14ac:dyDescent="0.25">
      <c r="A571" s="1">
        <v>39610</v>
      </c>
      <c r="B571">
        <v>8352</v>
      </c>
      <c r="C571">
        <v>8404</v>
      </c>
      <c r="D571">
        <v>8291</v>
      </c>
      <c r="E571">
        <v>8322</v>
      </c>
      <c r="F571">
        <v>8532.6</v>
      </c>
    </row>
    <row r="572" spans="1:6" x14ac:dyDescent="0.25">
      <c r="A572" s="1">
        <v>39611</v>
      </c>
      <c r="B572">
        <v>8170</v>
      </c>
      <c r="C572">
        <v>8205</v>
      </c>
      <c r="D572">
        <v>8000</v>
      </c>
      <c r="E572">
        <v>8036</v>
      </c>
      <c r="F572">
        <v>8394</v>
      </c>
    </row>
    <row r="573" spans="1:6" x14ac:dyDescent="0.25">
      <c r="A573" s="1">
        <v>39612</v>
      </c>
      <c r="B573">
        <v>8066</v>
      </c>
      <c r="C573">
        <v>8140</v>
      </c>
      <c r="D573">
        <v>8002</v>
      </c>
      <c r="E573">
        <v>8040</v>
      </c>
      <c r="F573">
        <v>8253.4</v>
      </c>
    </row>
    <row r="574" spans="1:6" x14ac:dyDescent="0.25">
      <c r="A574" s="1">
        <v>39615</v>
      </c>
      <c r="B574">
        <v>8120</v>
      </c>
      <c r="C574">
        <v>8190</v>
      </c>
      <c r="D574">
        <v>8105</v>
      </c>
      <c r="E574">
        <v>8132</v>
      </c>
      <c r="F574">
        <v>8173.6</v>
      </c>
    </row>
    <row r="575" spans="1:6" x14ac:dyDescent="0.25">
      <c r="A575" s="1">
        <v>39616</v>
      </c>
      <c r="B575">
        <v>8125</v>
      </c>
      <c r="C575">
        <v>8174</v>
      </c>
      <c r="D575">
        <v>8016</v>
      </c>
      <c r="E575">
        <v>8154</v>
      </c>
      <c r="F575">
        <v>8136.8</v>
      </c>
    </row>
    <row r="576" spans="1:6" x14ac:dyDescent="0.25">
      <c r="A576" s="1">
        <v>39617</v>
      </c>
      <c r="B576">
        <v>8140</v>
      </c>
      <c r="C576">
        <v>8258</v>
      </c>
      <c r="D576">
        <v>8120</v>
      </c>
      <c r="E576">
        <v>8215</v>
      </c>
      <c r="F576">
        <v>8115.4</v>
      </c>
    </row>
    <row r="577" spans="1:6" x14ac:dyDescent="0.25">
      <c r="A577" s="1">
        <v>39618</v>
      </c>
      <c r="B577">
        <v>7998</v>
      </c>
      <c r="C577">
        <v>7998</v>
      </c>
      <c r="D577">
        <v>7886</v>
      </c>
      <c r="E577">
        <v>7890</v>
      </c>
      <c r="F577">
        <v>8086.2</v>
      </c>
    </row>
    <row r="578" spans="1:6" x14ac:dyDescent="0.25">
      <c r="A578" s="1">
        <v>39619</v>
      </c>
      <c r="B578">
        <v>7900</v>
      </c>
      <c r="C578">
        <v>7938</v>
      </c>
      <c r="D578">
        <v>7725</v>
      </c>
      <c r="E578">
        <v>7779</v>
      </c>
      <c r="F578">
        <v>8034</v>
      </c>
    </row>
    <row r="579" spans="1:6" x14ac:dyDescent="0.25">
      <c r="A579" s="1">
        <v>39622</v>
      </c>
      <c r="B579">
        <v>7660</v>
      </c>
      <c r="C579">
        <v>7805</v>
      </c>
      <c r="D579">
        <v>7630</v>
      </c>
      <c r="E579">
        <v>7760</v>
      </c>
      <c r="F579">
        <v>7959.6</v>
      </c>
    </row>
    <row r="580" spans="1:6" x14ac:dyDescent="0.25">
      <c r="A580" s="1">
        <v>39623</v>
      </c>
      <c r="B580">
        <v>7730</v>
      </c>
      <c r="C580">
        <v>7780</v>
      </c>
      <c r="D580">
        <v>7644</v>
      </c>
      <c r="E580">
        <v>7690</v>
      </c>
      <c r="F580">
        <v>7866.8</v>
      </c>
    </row>
    <row r="581" spans="1:6" x14ac:dyDescent="0.25">
      <c r="A581" s="1">
        <v>39624</v>
      </c>
      <c r="B581">
        <v>7666</v>
      </c>
      <c r="C581">
        <v>7759</v>
      </c>
      <c r="D581">
        <v>7605</v>
      </c>
      <c r="E581">
        <v>7752</v>
      </c>
      <c r="F581">
        <v>7774.2</v>
      </c>
    </row>
    <row r="582" spans="1:6" x14ac:dyDescent="0.25">
      <c r="A582" s="1">
        <v>39625</v>
      </c>
      <c r="B582">
        <v>7756</v>
      </c>
      <c r="C582">
        <v>7797</v>
      </c>
      <c r="D582">
        <v>7690</v>
      </c>
      <c r="E582">
        <v>7691</v>
      </c>
      <c r="F582">
        <v>7734.4</v>
      </c>
    </row>
    <row r="583" spans="1:6" x14ac:dyDescent="0.25">
      <c r="A583" s="1">
        <v>39626</v>
      </c>
      <c r="B583">
        <v>7392</v>
      </c>
      <c r="C583">
        <v>7458</v>
      </c>
      <c r="D583">
        <v>7344</v>
      </c>
      <c r="E583">
        <v>7415</v>
      </c>
      <c r="F583">
        <v>7661.6</v>
      </c>
    </row>
    <row r="584" spans="1:6" x14ac:dyDescent="0.25">
      <c r="A584" s="1">
        <v>39629</v>
      </c>
      <c r="B584">
        <v>7446</v>
      </c>
      <c r="C584">
        <v>7490</v>
      </c>
      <c r="D584">
        <v>7384</v>
      </c>
      <c r="E584">
        <v>7418</v>
      </c>
      <c r="F584">
        <v>7593.2</v>
      </c>
    </row>
    <row r="585" spans="1:6" x14ac:dyDescent="0.25">
      <c r="A585" s="1">
        <v>39630</v>
      </c>
      <c r="B585">
        <v>7402</v>
      </c>
      <c r="C585">
        <v>7475</v>
      </c>
      <c r="D585">
        <v>7292</v>
      </c>
      <c r="E585">
        <v>7299</v>
      </c>
      <c r="F585">
        <v>7515</v>
      </c>
    </row>
    <row r="586" spans="1:6" x14ac:dyDescent="0.25">
      <c r="A586" s="1">
        <v>39631</v>
      </c>
      <c r="B586">
        <v>7301</v>
      </c>
      <c r="C586">
        <v>7393</v>
      </c>
      <c r="D586">
        <v>7243</v>
      </c>
      <c r="E586">
        <v>7243</v>
      </c>
      <c r="F586">
        <v>7413.2</v>
      </c>
    </row>
    <row r="587" spans="1:6" x14ac:dyDescent="0.25">
      <c r="A587" s="1">
        <v>39632</v>
      </c>
      <c r="B587">
        <v>7135</v>
      </c>
      <c r="C587">
        <v>7378</v>
      </c>
      <c r="D587">
        <v>7051</v>
      </c>
      <c r="E587">
        <v>7297</v>
      </c>
      <c r="F587">
        <v>7334.4</v>
      </c>
    </row>
    <row r="588" spans="1:6" x14ac:dyDescent="0.25">
      <c r="A588" s="1">
        <v>39633</v>
      </c>
      <c r="B588">
        <v>7300</v>
      </c>
      <c r="C588">
        <v>7325</v>
      </c>
      <c r="D588">
        <v>7100</v>
      </c>
      <c r="E588">
        <v>7103</v>
      </c>
      <c r="F588">
        <v>7272</v>
      </c>
    </row>
    <row r="589" spans="1:6" x14ac:dyDescent="0.25">
      <c r="A589" s="1">
        <v>39636</v>
      </c>
      <c r="B589">
        <v>7083</v>
      </c>
      <c r="C589">
        <v>7270</v>
      </c>
      <c r="D589">
        <v>7069</v>
      </c>
      <c r="E589">
        <v>7262</v>
      </c>
      <c r="F589">
        <v>7240.8</v>
      </c>
    </row>
    <row r="590" spans="1:6" x14ac:dyDescent="0.25">
      <c r="A590" s="1">
        <v>39637</v>
      </c>
      <c r="B590">
        <v>7202</v>
      </c>
      <c r="C590">
        <v>7203</v>
      </c>
      <c r="D590">
        <v>6889</v>
      </c>
      <c r="E590">
        <v>6982</v>
      </c>
      <c r="F590">
        <v>7177.4</v>
      </c>
    </row>
    <row r="591" spans="1:6" x14ac:dyDescent="0.25">
      <c r="A591" s="1">
        <v>39638</v>
      </c>
      <c r="B591">
        <v>7090</v>
      </c>
      <c r="C591">
        <v>7183</v>
      </c>
      <c r="D591">
        <v>6951</v>
      </c>
      <c r="E591">
        <v>7015</v>
      </c>
      <c r="F591">
        <v>7131.8</v>
      </c>
    </row>
    <row r="592" spans="1:6" x14ac:dyDescent="0.25">
      <c r="A592" s="1">
        <v>39639</v>
      </c>
      <c r="B592">
        <v>6916</v>
      </c>
      <c r="C592">
        <v>7117</v>
      </c>
      <c r="D592">
        <v>6894</v>
      </c>
      <c r="E592">
        <v>7007</v>
      </c>
      <c r="F592">
        <v>7073.8</v>
      </c>
    </row>
    <row r="593" spans="1:6" x14ac:dyDescent="0.25">
      <c r="A593" s="1">
        <v>39640</v>
      </c>
      <c r="B593">
        <v>6995</v>
      </c>
      <c r="C593">
        <v>7203</v>
      </c>
      <c r="D593">
        <v>6962</v>
      </c>
      <c r="E593">
        <v>7177</v>
      </c>
      <c r="F593">
        <v>7088.6</v>
      </c>
    </row>
    <row r="594" spans="1:6" x14ac:dyDescent="0.25">
      <c r="A594" s="1">
        <v>39643</v>
      </c>
      <c r="B594">
        <v>7189</v>
      </c>
      <c r="C594">
        <v>7234</v>
      </c>
      <c r="D594">
        <v>7089</v>
      </c>
      <c r="E594">
        <v>7153</v>
      </c>
      <c r="F594">
        <v>7066.8</v>
      </c>
    </row>
    <row r="595" spans="1:6" x14ac:dyDescent="0.25">
      <c r="A595" s="1">
        <v>39644</v>
      </c>
      <c r="B595">
        <v>7063</v>
      </c>
      <c r="C595">
        <v>7066</v>
      </c>
      <c r="D595">
        <v>6741</v>
      </c>
      <c r="E595">
        <v>6784</v>
      </c>
      <c r="F595">
        <v>7027.2</v>
      </c>
    </row>
    <row r="596" spans="1:6" x14ac:dyDescent="0.25">
      <c r="A596" s="1">
        <v>39645</v>
      </c>
      <c r="B596">
        <v>6841</v>
      </c>
      <c r="C596">
        <v>6866</v>
      </c>
      <c r="D596">
        <v>6671</v>
      </c>
      <c r="E596">
        <v>6680</v>
      </c>
      <c r="F596">
        <v>6960.2</v>
      </c>
    </row>
    <row r="597" spans="1:6" x14ac:dyDescent="0.25">
      <c r="A597" s="1">
        <v>39646</v>
      </c>
      <c r="B597">
        <v>6699</v>
      </c>
      <c r="C597">
        <v>6846</v>
      </c>
      <c r="D597">
        <v>6695</v>
      </c>
      <c r="E597">
        <v>6798</v>
      </c>
      <c r="F597">
        <v>6918.4</v>
      </c>
    </row>
    <row r="598" spans="1:6" x14ac:dyDescent="0.25">
      <c r="A598" s="1">
        <v>39647</v>
      </c>
      <c r="B598">
        <v>6870</v>
      </c>
      <c r="C598">
        <v>6888</v>
      </c>
      <c r="D598">
        <v>6600</v>
      </c>
      <c r="E598">
        <v>6680</v>
      </c>
      <c r="F598">
        <v>6819</v>
      </c>
    </row>
    <row r="599" spans="1:6" x14ac:dyDescent="0.25">
      <c r="A599" s="1">
        <v>39650</v>
      </c>
      <c r="B599">
        <v>6825</v>
      </c>
      <c r="C599">
        <v>7020</v>
      </c>
      <c r="D599">
        <v>6810</v>
      </c>
      <c r="E599">
        <v>7005</v>
      </c>
      <c r="F599">
        <v>6789.4</v>
      </c>
    </row>
    <row r="600" spans="1:6" x14ac:dyDescent="0.25">
      <c r="A600" s="1">
        <v>39651</v>
      </c>
      <c r="B600">
        <v>6960</v>
      </c>
      <c r="C600">
        <v>7010</v>
      </c>
      <c r="D600">
        <v>6889</v>
      </c>
      <c r="E600">
        <v>6961</v>
      </c>
      <c r="F600">
        <v>6824.8</v>
      </c>
    </row>
    <row r="601" spans="1:6" x14ac:dyDescent="0.25">
      <c r="A601" s="1">
        <v>39652</v>
      </c>
      <c r="B601">
        <v>7100</v>
      </c>
      <c r="C601">
        <v>7252</v>
      </c>
      <c r="D601">
        <v>7071</v>
      </c>
      <c r="E601">
        <v>7187</v>
      </c>
      <c r="F601">
        <v>6926.2</v>
      </c>
    </row>
    <row r="602" spans="1:6" x14ac:dyDescent="0.25">
      <c r="A602" s="1">
        <v>39653</v>
      </c>
      <c r="B602">
        <v>7259</v>
      </c>
      <c r="C602">
        <v>7307</v>
      </c>
      <c r="D602">
        <v>7207</v>
      </c>
      <c r="E602">
        <v>7304</v>
      </c>
      <c r="F602">
        <v>7027.4</v>
      </c>
    </row>
    <row r="603" spans="1:6" x14ac:dyDescent="0.25">
      <c r="A603" s="1">
        <v>39654</v>
      </c>
      <c r="B603">
        <v>7186</v>
      </c>
      <c r="C603">
        <v>7190</v>
      </c>
      <c r="D603">
        <v>7083</v>
      </c>
      <c r="E603">
        <v>7169</v>
      </c>
      <c r="F603">
        <v>7125.2</v>
      </c>
    </row>
    <row r="604" spans="1:6" x14ac:dyDescent="0.25">
      <c r="A604" s="1">
        <v>39658</v>
      </c>
      <c r="B604">
        <v>6970</v>
      </c>
      <c r="C604">
        <v>6980</v>
      </c>
      <c r="D604">
        <v>6865</v>
      </c>
      <c r="E604">
        <v>6917</v>
      </c>
      <c r="F604">
        <v>7107.6</v>
      </c>
    </row>
    <row r="605" spans="1:6" x14ac:dyDescent="0.25">
      <c r="A605" s="1">
        <v>39659</v>
      </c>
      <c r="B605">
        <v>7089</v>
      </c>
      <c r="C605">
        <v>7095</v>
      </c>
      <c r="D605">
        <v>6967</v>
      </c>
      <c r="E605">
        <v>7025</v>
      </c>
      <c r="F605">
        <v>7120.4</v>
      </c>
    </row>
    <row r="606" spans="1:6" x14ac:dyDescent="0.25">
      <c r="A606" s="1">
        <v>39660</v>
      </c>
      <c r="B606">
        <v>7105</v>
      </c>
      <c r="C606">
        <v>7148</v>
      </c>
      <c r="D606">
        <v>6893</v>
      </c>
      <c r="E606">
        <v>7003</v>
      </c>
      <c r="F606">
        <v>7083.6</v>
      </c>
    </row>
    <row r="607" spans="1:6" x14ac:dyDescent="0.25">
      <c r="A607" s="1">
        <v>39661</v>
      </c>
      <c r="B607">
        <v>6908</v>
      </c>
      <c r="C607">
        <v>6969</v>
      </c>
      <c r="D607">
        <v>6852</v>
      </c>
      <c r="E607">
        <v>6918</v>
      </c>
      <c r="F607">
        <v>7006.4</v>
      </c>
    </row>
    <row r="608" spans="1:6" x14ac:dyDescent="0.25">
      <c r="A608" s="1">
        <v>39664</v>
      </c>
      <c r="B608">
        <v>6875</v>
      </c>
      <c r="C608">
        <v>6965</v>
      </c>
      <c r="D608">
        <v>6855</v>
      </c>
      <c r="E608">
        <v>6936</v>
      </c>
      <c r="F608">
        <v>6959.8</v>
      </c>
    </row>
    <row r="609" spans="1:6" x14ac:dyDescent="0.25">
      <c r="A609" s="1">
        <v>39665</v>
      </c>
      <c r="B609">
        <v>6976</v>
      </c>
      <c r="C609">
        <v>6994</v>
      </c>
      <c r="D609">
        <v>6755</v>
      </c>
      <c r="E609">
        <v>6782</v>
      </c>
      <c r="F609">
        <v>6932.8</v>
      </c>
    </row>
    <row r="610" spans="1:6" x14ac:dyDescent="0.25">
      <c r="A610" s="1">
        <v>39666</v>
      </c>
      <c r="B610">
        <v>6950</v>
      </c>
      <c r="C610">
        <v>7030</v>
      </c>
      <c r="D610">
        <v>6909</v>
      </c>
      <c r="E610">
        <v>7020</v>
      </c>
      <c r="F610">
        <v>6931.8</v>
      </c>
    </row>
    <row r="611" spans="1:6" x14ac:dyDescent="0.25">
      <c r="A611" s="1">
        <v>39667</v>
      </c>
      <c r="B611">
        <v>7000</v>
      </c>
      <c r="C611">
        <v>7054</v>
      </c>
      <c r="D611">
        <v>6958</v>
      </c>
      <c r="E611">
        <v>7006</v>
      </c>
      <c r="F611">
        <v>6932.4</v>
      </c>
    </row>
    <row r="612" spans="1:6" x14ac:dyDescent="0.25">
      <c r="A612" s="1">
        <v>39668</v>
      </c>
      <c r="B612">
        <v>6930</v>
      </c>
      <c r="C612">
        <v>7233</v>
      </c>
      <c r="D612">
        <v>6930</v>
      </c>
      <c r="E612">
        <v>7192</v>
      </c>
      <c r="F612">
        <v>6987.2</v>
      </c>
    </row>
    <row r="613" spans="1:6" x14ac:dyDescent="0.25">
      <c r="A613" s="1">
        <v>39671</v>
      </c>
      <c r="B613">
        <v>7298</v>
      </c>
      <c r="C613">
        <v>7338</v>
      </c>
      <c r="D613">
        <v>7250</v>
      </c>
      <c r="E613">
        <v>7294</v>
      </c>
      <c r="F613">
        <v>7058.8</v>
      </c>
    </row>
    <row r="614" spans="1:6" x14ac:dyDescent="0.25">
      <c r="A614" s="1">
        <v>39672</v>
      </c>
      <c r="B614">
        <v>7298</v>
      </c>
      <c r="C614">
        <v>7333</v>
      </c>
      <c r="D614">
        <v>7255</v>
      </c>
      <c r="E614">
        <v>7268</v>
      </c>
      <c r="F614">
        <v>7156</v>
      </c>
    </row>
    <row r="615" spans="1:6" x14ac:dyDescent="0.25">
      <c r="A615" s="1">
        <v>39673</v>
      </c>
      <c r="B615">
        <v>7240</v>
      </c>
      <c r="C615">
        <v>7309</v>
      </c>
      <c r="D615">
        <v>7192</v>
      </c>
      <c r="E615">
        <v>7300</v>
      </c>
      <c r="F615">
        <v>7212</v>
      </c>
    </row>
    <row r="616" spans="1:6" x14ac:dyDescent="0.25">
      <c r="A616" s="1">
        <v>39674</v>
      </c>
      <c r="B616">
        <v>7297</v>
      </c>
      <c r="C616">
        <v>7364</v>
      </c>
      <c r="D616">
        <v>7230</v>
      </c>
      <c r="E616">
        <v>7361</v>
      </c>
      <c r="F616">
        <v>7283</v>
      </c>
    </row>
    <row r="617" spans="1:6" x14ac:dyDescent="0.25">
      <c r="A617" s="1">
        <v>39675</v>
      </c>
      <c r="B617">
        <v>7370</v>
      </c>
      <c r="C617">
        <v>7380</v>
      </c>
      <c r="D617">
        <v>7156</v>
      </c>
      <c r="E617">
        <v>7210</v>
      </c>
      <c r="F617">
        <v>7286.6</v>
      </c>
    </row>
    <row r="618" spans="1:6" x14ac:dyDescent="0.25">
      <c r="A618" s="1">
        <v>39678</v>
      </c>
      <c r="B618">
        <v>7186</v>
      </c>
      <c r="C618">
        <v>7224</v>
      </c>
      <c r="D618">
        <v>6955</v>
      </c>
      <c r="E618">
        <v>6979</v>
      </c>
      <c r="F618">
        <v>7223.6</v>
      </c>
    </row>
    <row r="619" spans="1:6" x14ac:dyDescent="0.25">
      <c r="A619" s="1">
        <v>39679</v>
      </c>
      <c r="B619">
        <v>6850</v>
      </c>
      <c r="C619">
        <v>6978</v>
      </c>
      <c r="D619">
        <v>6803</v>
      </c>
      <c r="E619">
        <v>6944</v>
      </c>
      <c r="F619">
        <v>7158.8</v>
      </c>
    </row>
    <row r="620" spans="1:6" x14ac:dyDescent="0.25">
      <c r="A620" s="1">
        <v>39680</v>
      </c>
      <c r="B620">
        <v>6945</v>
      </c>
      <c r="C620">
        <v>7053</v>
      </c>
      <c r="D620">
        <v>6873</v>
      </c>
      <c r="E620">
        <v>7046</v>
      </c>
      <c r="F620">
        <v>7108</v>
      </c>
    </row>
    <row r="621" spans="1:6" x14ac:dyDescent="0.25">
      <c r="A621" s="1">
        <v>39681</v>
      </c>
      <c r="B621">
        <v>6950</v>
      </c>
      <c r="C621">
        <v>6960</v>
      </c>
      <c r="D621">
        <v>6857</v>
      </c>
      <c r="E621">
        <v>6870</v>
      </c>
      <c r="F621">
        <v>7009.8</v>
      </c>
    </row>
    <row r="622" spans="1:6" x14ac:dyDescent="0.25">
      <c r="A622" s="1">
        <v>39682</v>
      </c>
      <c r="B622">
        <v>6836</v>
      </c>
      <c r="C622">
        <v>6973</v>
      </c>
      <c r="D622">
        <v>6765</v>
      </c>
      <c r="E622">
        <v>6858</v>
      </c>
      <c r="F622">
        <v>6939.4</v>
      </c>
    </row>
    <row r="623" spans="1:6" x14ac:dyDescent="0.25">
      <c r="A623" s="1">
        <v>39685</v>
      </c>
      <c r="B623">
        <v>6955</v>
      </c>
      <c r="C623">
        <v>7037</v>
      </c>
      <c r="D623">
        <v>6895</v>
      </c>
      <c r="E623">
        <v>6988</v>
      </c>
      <c r="F623">
        <v>6941.2</v>
      </c>
    </row>
    <row r="624" spans="1:6" x14ac:dyDescent="0.25">
      <c r="A624" s="1">
        <v>39686</v>
      </c>
      <c r="B624">
        <v>6903</v>
      </c>
      <c r="C624">
        <v>6962</v>
      </c>
      <c r="D624">
        <v>6886</v>
      </c>
      <c r="E624">
        <v>6948</v>
      </c>
      <c r="F624">
        <v>6942</v>
      </c>
    </row>
    <row r="625" spans="1:6" x14ac:dyDescent="0.25">
      <c r="A625" s="1">
        <v>39687</v>
      </c>
      <c r="B625">
        <v>6931</v>
      </c>
      <c r="C625">
        <v>7118</v>
      </c>
      <c r="D625">
        <v>6896</v>
      </c>
      <c r="E625">
        <v>7085</v>
      </c>
      <c r="F625">
        <v>6949.8</v>
      </c>
    </row>
    <row r="626" spans="1:6" x14ac:dyDescent="0.25">
      <c r="A626" s="1">
        <v>39688</v>
      </c>
      <c r="B626">
        <v>7080</v>
      </c>
      <c r="C626">
        <v>7140</v>
      </c>
      <c r="D626">
        <v>7033</v>
      </c>
      <c r="E626">
        <v>7040</v>
      </c>
      <c r="F626">
        <v>6983.8</v>
      </c>
    </row>
    <row r="627" spans="1:6" x14ac:dyDescent="0.25">
      <c r="A627" s="1">
        <v>39689</v>
      </c>
      <c r="B627">
        <v>7105</v>
      </c>
      <c r="C627">
        <v>7138</v>
      </c>
      <c r="D627">
        <v>7011</v>
      </c>
      <c r="E627">
        <v>7054</v>
      </c>
      <c r="F627">
        <v>7023</v>
      </c>
    </row>
    <row r="628" spans="1:6" x14ac:dyDescent="0.25">
      <c r="A628" s="1">
        <v>39692</v>
      </c>
      <c r="B628">
        <v>6997</v>
      </c>
      <c r="C628">
        <v>6997</v>
      </c>
      <c r="D628">
        <v>6739</v>
      </c>
      <c r="E628">
        <v>6755</v>
      </c>
      <c r="F628">
        <v>6976.4</v>
      </c>
    </row>
    <row r="629" spans="1:6" x14ac:dyDescent="0.25">
      <c r="A629" s="1">
        <v>39693</v>
      </c>
      <c r="B629">
        <v>6781</v>
      </c>
      <c r="C629">
        <v>6799</v>
      </c>
      <c r="D629">
        <v>6652</v>
      </c>
      <c r="E629">
        <v>6699</v>
      </c>
      <c r="F629">
        <v>6926.6</v>
      </c>
    </row>
    <row r="630" spans="1:6" x14ac:dyDescent="0.25">
      <c r="A630" s="1">
        <v>39694</v>
      </c>
      <c r="B630">
        <v>6706</v>
      </c>
      <c r="C630">
        <v>6757</v>
      </c>
      <c r="D630">
        <v>6560</v>
      </c>
      <c r="E630">
        <v>6588</v>
      </c>
      <c r="F630">
        <v>6827.2</v>
      </c>
    </row>
    <row r="631" spans="1:6" x14ac:dyDescent="0.25">
      <c r="A631" s="1">
        <v>39695</v>
      </c>
      <c r="B631">
        <v>6570</v>
      </c>
      <c r="C631">
        <v>6630</v>
      </c>
      <c r="D631">
        <v>6344</v>
      </c>
      <c r="E631">
        <v>6398</v>
      </c>
      <c r="F631">
        <v>6698.8</v>
      </c>
    </row>
    <row r="632" spans="1:6" x14ac:dyDescent="0.25">
      <c r="A632" s="1">
        <v>39696</v>
      </c>
      <c r="B632">
        <v>6180</v>
      </c>
      <c r="C632">
        <v>6331</v>
      </c>
      <c r="D632">
        <v>6179</v>
      </c>
      <c r="E632">
        <v>6242</v>
      </c>
      <c r="F632">
        <v>6536.4</v>
      </c>
    </row>
    <row r="633" spans="1:6" x14ac:dyDescent="0.25">
      <c r="A633" s="1">
        <v>39699</v>
      </c>
      <c r="B633">
        <v>6486</v>
      </c>
      <c r="C633">
        <v>6677</v>
      </c>
      <c r="D633">
        <v>6452</v>
      </c>
      <c r="E633">
        <v>6677</v>
      </c>
      <c r="F633">
        <v>6520.8</v>
      </c>
    </row>
    <row r="634" spans="1:6" x14ac:dyDescent="0.25">
      <c r="A634" s="1">
        <v>39700</v>
      </c>
      <c r="B634">
        <v>6633</v>
      </c>
      <c r="C634">
        <v>6633</v>
      </c>
      <c r="D634">
        <v>6390</v>
      </c>
      <c r="E634">
        <v>6460</v>
      </c>
      <c r="F634">
        <v>6473</v>
      </c>
    </row>
    <row r="635" spans="1:6" x14ac:dyDescent="0.25">
      <c r="A635" s="1">
        <v>39701</v>
      </c>
      <c r="B635">
        <v>6370</v>
      </c>
      <c r="C635">
        <v>6518</v>
      </c>
      <c r="D635">
        <v>6348</v>
      </c>
      <c r="E635">
        <v>6457</v>
      </c>
      <c r="F635">
        <v>6446.8</v>
      </c>
    </row>
    <row r="636" spans="1:6" x14ac:dyDescent="0.25">
      <c r="A636" s="1">
        <v>39702</v>
      </c>
      <c r="B636">
        <v>6470</v>
      </c>
      <c r="C636">
        <v>6470</v>
      </c>
      <c r="D636">
        <v>6002</v>
      </c>
      <c r="E636">
        <v>6230</v>
      </c>
      <c r="F636">
        <v>6413.2</v>
      </c>
    </row>
    <row r="637" spans="1:6" x14ac:dyDescent="0.25">
      <c r="A637" s="1">
        <v>39703</v>
      </c>
      <c r="B637">
        <v>6340</v>
      </c>
      <c r="C637">
        <v>6360</v>
      </c>
      <c r="D637">
        <v>6153</v>
      </c>
      <c r="E637">
        <v>6290</v>
      </c>
      <c r="F637">
        <v>6422.8</v>
      </c>
    </row>
    <row r="638" spans="1:6" x14ac:dyDescent="0.25">
      <c r="A638" s="1">
        <v>39706</v>
      </c>
      <c r="B638">
        <v>6140</v>
      </c>
      <c r="C638">
        <v>6186</v>
      </c>
      <c r="D638">
        <v>5864</v>
      </c>
      <c r="E638">
        <v>5962</v>
      </c>
      <c r="F638">
        <v>6279.8</v>
      </c>
    </row>
    <row r="639" spans="1:6" x14ac:dyDescent="0.25">
      <c r="A639" s="1">
        <v>39707</v>
      </c>
      <c r="B639">
        <v>5799</v>
      </c>
      <c r="C639">
        <v>5859</v>
      </c>
      <c r="D639">
        <v>5680</v>
      </c>
      <c r="E639">
        <v>5680</v>
      </c>
      <c r="F639">
        <v>6123.8</v>
      </c>
    </row>
    <row r="640" spans="1:6" x14ac:dyDescent="0.25">
      <c r="A640" s="1">
        <v>39708</v>
      </c>
      <c r="B640">
        <v>5860</v>
      </c>
      <c r="C640">
        <v>5998</v>
      </c>
      <c r="D640">
        <v>5719</v>
      </c>
      <c r="E640">
        <v>5765</v>
      </c>
      <c r="F640">
        <v>5985.4</v>
      </c>
    </row>
    <row r="641" spans="1:6" x14ac:dyDescent="0.25">
      <c r="A641" s="1">
        <v>39709</v>
      </c>
      <c r="B641">
        <v>5550</v>
      </c>
      <c r="C641">
        <v>5590</v>
      </c>
      <c r="D641">
        <v>5415</v>
      </c>
      <c r="E641">
        <v>5529</v>
      </c>
      <c r="F641">
        <v>5845.2</v>
      </c>
    </row>
    <row r="642" spans="1:6" x14ac:dyDescent="0.25">
      <c r="A642" s="1">
        <v>39710</v>
      </c>
      <c r="B642">
        <v>5800</v>
      </c>
      <c r="C642">
        <v>5908</v>
      </c>
      <c r="D642">
        <v>5782</v>
      </c>
      <c r="E642">
        <v>5908</v>
      </c>
      <c r="F642">
        <v>5768.8</v>
      </c>
    </row>
    <row r="643" spans="1:6" x14ac:dyDescent="0.25">
      <c r="A643" s="1">
        <v>39713</v>
      </c>
      <c r="B643">
        <v>6148</v>
      </c>
      <c r="C643">
        <v>6150</v>
      </c>
      <c r="D643">
        <v>5960</v>
      </c>
      <c r="E643">
        <v>6088</v>
      </c>
      <c r="F643">
        <v>5794</v>
      </c>
    </row>
    <row r="644" spans="1:6" x14ac:dyDescent="0.25">
      <c r="A644" s="1">
        <v>39714</v>
      </c>
      <c r="B644">
        <v>6030</v>
      </c>
      <c r="C644">
        <v>6149</v>
      </c>
      <c r="D644">
        <v>5995</v>
      </c>
      <c r="E644">
        <v>6139</v>
      </c>
      <c r="F644">
        <v>5885.8</v>
      </c>
    </row>
    <row r="645" spans="1:6" x14ac:dyDescent="0.25">
      <c r="A645" s="1">
        <v>39715</v>
      </c>
      <c r="B645">
        <v>6113</v>
      </c>
      <c r="C645">
        <v>6195</v>
      </c>
      <c r="D645">
        <v>6074</v>
      </c>
      <c r="E645">
        <v>6160</v>
      </c>
      <c r="F645">
        <v>5964.8</v>
      </c>
    </row>
    <row r="646" spans="1:6" x14ac:dyDescent="0.25">
      <c r="A646" s="1">
        <v>39716</v>
      </c>
      <c r="B646">
        <v>6020</v>
      </c>
      <c r="C646">
        <v>6160</v>
      </c>
      <c r="D646">
        <v>6003</v>
      </c>
      <c r="E646">
        <v>6059</v>
      </c>
      <c r="F646">
        <v>6070.8</v>
      </c>
    </row>
    <row r="647" spans="1:6" x14ac:dyDescent="0.25">
      <c r="A647" s="1">
        <v>39717</v>
      </c>
      <c r="B647">
        <v>6059</v>
      </c>
      <c r="C647">
        <v>6063</v>
      </c>
      <c r="D647">
        <v>5817</v>
      </c>
      <c r="E647">
        <v>5867</v>
      </c>
      <c r="F647">
        <v>6062.6</v>
      </c>
    </row>
    <row r="648" spans="1:6" x14ac:dyDescent="0.25">
      <c r="A648" s="1">
        <v>39721</v>
      </c>
      <c r="B648">
        <v>5459</v>
      </c>
      <c r="C648">
        <v>5587</v>
      </c>
      <c r="D648">
        <v>5459</v>
      </c>
      <c r="E648">
        <v>5550</v>
      </c>
      <c r="F648">
        <v>5955</v>
      </c>
    </row>
    <row r="649" spans="1:6" x14ac:dyDescent="0.25">
      <c r="A649" s="1">
        <v>39722</v>
      </c>
      <c r="B649">
        <v>5640</v>
      </c>
      <c r="C649">
        <v>5719</v>
      </c>
      <c r="D649">
        <v>5600</v>
      </c>
      <c r="E649">
        <v>5680</v>
      </c>
      <c r="F649">
        <v>5863.2</v>
      </c>
    </row>
    <row r="650" spans="1:6" x14ac:dyDescent="0.25">
      <c r="A650" s="1">
        <v>39723</v>
      </c>
      <c r="B650">
        <v>5738</v>
      </c>
      <c r="C650">
        <v>5743</v>
      </c>
      <c r="D650">
        <v>5550</v>
      </c>
      <c r="E650">
        <v>5623</v>
      </c>
      <c r="F650">
        <v>5755.8</v>
      </c>
    </row>
    <row r="651" spans="1:6" x14ac:dyDescent="0.25">
      <c r="A651" s="1">
        <v>39724</v>
      </c>
      <c r="B651">
        <v>5550</v>
      </c>
      <c r="C651">
        <v>5687</v>
      </c>
      <c r="D651">
        <v>5491</v>
      </c>
      <c r="E651">
        <v>5657</v>
      </c>
      <c r="F651">
        <v>5675.4</v>
      </c>
    </row>
    <row r="652" spans="1:6" x14ac:dyDescent="0.25">
      <c r="A652" s="1">
        <v>39727</v>
      </c>
      <c r="B652">
        <v>5510</v>
      </c>
      <c r="C652">
        <v>5520</v>
      </c>
      <c r="D652">
        <v>5380</v>
      </c>
      <c r="E652">
        <v>5390</v>
      </c>
      <c r="F652">
        <v>5580</v>
      </c>
    </row>
    <row r="653" spans="1:6" x14ac:dyDescent="0.25">
      <c r="A653" s="1">
        <v>39728</v>
      </c>
      <c r="B653">
        <v>5203</v>
      </c>
      <c r="C653">
        <v>5484</v>
      </c>
      <c r="D653">
        <v>5203</v>
      </c>
      <c r="E653">
        <v>5444</v>
      </c>
      <c r="F653">
        <v>5558.8</v>
      </c>
    </row>
    <row r="654" spans="1:6" x14ac:dyDescent="0.25">
      <c r="A654" s="1">
        <v>39729</v>
      </c>
      <c r="B654">
        <v>5258</v>
      </c>
      <c r="C654">
        <v>5346</v>
      </c>
      <c r="D654">
        <v>5065</v>
      </c>
      <c r="E654">
        <v>5118</v>
      </c>
      <c r="F654">
        <v>5446.4</v>
      </c>
    </row>
    <row r="655" spans="1:6" x14ac:dyDescent="0.25">
      <c r="A655" s="1">
        <v>39730</v>
      </c>
      <c r="B655">
        <v>5199</v>
      </c>
      <c r="C655">
        <v>5255</v>
      </c>
      <c r="D655">
        <v>5056</v>
      </c>
      <c r="E655">
        <v>5066</v>
      </c>
      <c r="F655">
        <v>5335</v>
      </c>
    </row>
    <row r="656" spans="1:6" x14ac:dyDescent="0.25">
      <c r="A656" s="1">
        <v>39734</v>
      </c>
      <c r="B656">
        <v>4885</v>
      </c>
      <c r="C656">
        <v>4986</v>
      </c>
      <c r="D656">
        <v>4885</v>
      </c>
      <c r="E656">
        <v>4945</v>
      </c>
      <c r="F656">
        <v>5192.6000000000004</v>
      </c>
    </row>
    <row r="657" spans="1:6" x14ac:dyDescent="0.25">
      <c r="A657" s="1">
        <v>39735</v>
      </c>
      <c r="B657">
        <v>5280</v>
      </c>
      <c r="C657">
        <v>5287</v>
      </c>
      <c r="D657">
        <v>5235</v>
      </c>
      <c r="E657">
        <v>5287</v>
      </c>
      <c r="F657">
        <v>5172</v>
      </c>
    </row>
    <row r="658" spans="1:6" x14ac:dyDescent="0.25">
      <c r="A658" s="1">
        <v>39736</v>
      </c>
      <c r="B658">
        <v>5275</v>
      </c>
      <c r="C658">
        <v>5285</v>
      </c>
      <c r="D658">
        <v>5152</v>
      </c>
      <c r="E658">
        <v>5241</v>
      </c>
      <c r="F658">
        <v>5131.3999999999996</v>
      </c>
    </row>
    <row r="659" spans="1:6" x14ac:dyDescent="0.25">
      <c r="A659" s="1">
        <v>39737</v>
      </c>
      <c r="B659">
        <v>4978</v>
      </c>
      <c r="C659">
        <v>4978</v>
      </c>
      <c r="D659">
        <v>4978</v>
      </c>
      <c r="E659">
        <v>4978</v>
      </c>
      <c r="F659">
        <v>5103.3999999999996</v>
      </c>
    </row>
    <row r="660" spans="1:6" x14ac:dyDescent="0.25">
      <c r="A660" s="1">
        <v>39738</v>
      </c>
      <c r="B660">
        <v>4951</v>
      </c>
      <c r="C660">
        <v>4978</v>
      </c>
      <c r="D660">
        <v>4804</v>
      </c>
      <c r="E660">
        <v>4804</v>
      </c>
      <c r="F660">
        <v>5051</v>
      </c>
    </row>
    <row r="661" spans="1:6" x14ac:dyDescent="0.25">
      <c r="A661" s="1">
        <v>39741</v>
      </c>
      <c r="B661">
        <v>4726</v>
      </c>
      <c r="C661">
        <v>4832</v>
      </c>
      <c r="D661">
        <v>4636</v>
      </c>
      <c r="E661">
        <v>4825</v>
      </c>
      <c r="F661">
        <v>5027</v>
      </c>
    </row>
    <row r="662" spans="1:6" x14ac:dyDescent="0.25">
      <c r="A662" s="1">
        <v>39742</v>
      </c>
      <c r="B662">
        <v>4935</v>
      </c>
      <c r="C662">
        <v>4949</v>
      </c>
      <c r="D662">
        <v>4736</v>
      </c>
      <c r="E662">
        <v>4815</v>
      </c>
      <c r="F662">
        <v>4932.6000000000004</v>
      </c>
    </row>
    <row r="663" spans="1:6" x14ac:dyDescent="0.25">
      <c r="A663" s="1">
        <v>39743</v>
      </c>
      <c r="B663">
        <v>4741</v>
      </c>
      <c r="C663">
        <v>4856</v>
      </c>
      <c r="D663">
        <v>4650</v>
      </c>
      <c r="E663">
        <v>4653</v>
      </c>
      <c r="F663">
        <v>4815</v>
      </c>
    </row>
    <row r="664" spans="1:6" x14ac:dyDescent="0.25">
      <c r="A664" s="1">
        <v>39744</v>
      </c>
      <c r="B664">
        <v>4494</v>
      </c>
      <c r="C664">
        <v>4523</v>
      </c>
      <c r="D664">
        <v>4494</v>
      </c>
      <c r="E664">
        <v>4494</v>
      </c>
      <c r="F664">
        <v>4718.2</v>
      </c>
    </row>
    <row r="665" spans="1:6" x14ac:dyDescent="0.25">
      <c r="A665" s="1">
        <v>39745</v>
      </c>
      <c r="B665">
        <v>4394</v>
      </c>
      <c r="C665">
        <v>4440</v>
      </c>
      <c r="D665">
        <v>4337</v>
      </c>
      <c r="E665">
        <v>4337</v>
      </c>
      <c r="F665">
        <v>4624.8</v>
      </c>
    </row>
    <row r="666" spans="1:6" x14ac:dyDescent="0.25">
      <c r="A666" s="1">
        <v>39748</v>
      </c>
      <c r="B666">
        <v>4080</v>
      </c>
      <c r="C666">
        <v>4222</v>
      </c>
      <c r="D666">
        <v>4034</v>
      </c>
      <c r="E666">
        <v>4034</v>
      </c>
      <c r="F666">
        <v>4466.6000000000004</v>
      </c>
    </row>
    <row r="667" spans="1:6" x14ac:dyDescent="0.25">
      <c r="A667" s="1">
        <v>39749</v>
      </c>
      <c r="B667">
        <v>3913</v>
      </c>
      <c r="C667">
        <v>4316</v>
      </c>
      <c r="D667">
        <v>3811</v>
      </c>
      <c r="E667">
        <v>4316</v>
      </c>
      <c r="F667">
        <v>4366.8</v>
      </c>
    </row>
    <row r="668" spans="1:6" x14ac:dyDescent="0.25">
      <c r="A668" s="1">
        <v>39750</v>
      </c>
      <c r="B668">
        <v>4602</v>
      </c>
      <c r="C668">
        <v>4616</v>
      </c>
      <c r="D668">
        <v>4214</v>
      </c>
      <c r="E668">
        <v>4260</v>
      </c>
      <c r="F668">
        <v>4288.2</v>
      </c>
    </row>
    <row r="669" spans="1:6" x14ac:dyDescent="0.25">
      <c r="A669" s="1">
        <v>39751</v>
      </c>
      <c r="B669">
        <v>4386</v>
      </c>
      <c r="C669">
        <v>4594</v>
      </c>
      <c r="D669">
        <v>4360</v>
      </c>
      <c r="E669">
        <v>4594</v>
      </c>
      <c r="F669">
        <v>4308.2</v>
      </c>
    </row>
    <row r="670" spans="1:6" x14ac:dyDescent="0.25">
      <c r="A670" s="1">
        <v>39752</v>
      </c>
      <c r="B670">
        <v>4593</v>
      </c>
      <c r="C670">
        <v>4909</v>
      </c>
      <c r="D670">
        <v>4538</v>
      </c>
      <c r="E670">
        <v>4846</v>
      </c>
      <c r="F670">
        <v>4410</v>
      </c>
    </row>
    <row r="671" spans="1:6" x14ac:dyDescent="0.25">
      <c r="A671" s="1">
        <v>39755</v>
      </c>
      <c r="B671">
        <v>4932</v>
      </c>
      <c r="C671">
        <v>4995</v>
      </c>
      <c r="D671">
        <v>4785</v>
      </c>
      <c r="E671">
        <v>4995</v>
      </c>
      <c r="F671">
        <v>4602.2</v>
      </c>
    </row>
    <row r="672" spans="1:6" x14ac:dyDescent="0.25">
      <c r="A672" s="1">
        <v>39756</v>
      </c>
      <c r="B672">
        <v>4975</v>
      </c>
      <c r="C672">
        <v>5006</v>
      </c>
      <c r="D672">
        <v>4835</v>
      </c>
      <c r="E672">
        <v>4979</v>
      </c>
      <c r="F672">
        <v>4734.8</v>
      </c>
    </row>
    <row r="673" spans="1:6" x14ac:dyDescent="0.25">
      <c r="A673" s="1">
        <v>39757</v>
      </c>
      <c r="B673">
        <v>5060</v>
      </c>
      <c r="C673">
        <v>5100</v>
      </c>
      <c r="D673">
        <v>4893</v>
      </c>
      <c r="E673">
        <v>4900</v>
      </c>
      <c r="F673">
        <v>4862.8</v>
      </c>
    </row>
    <row r="674" spans="1:6" x14ac:dyDescent="0.25">
      <c r="A674" s="1">
        <v>39758</v>
      </c>
      <c r="B674">
        <v>4687</v>
      </c>
      <c r="C674">
        <v>4699</v>
      </c>
      <c r="D674">
        <v>4557</v>
      </c>
      <c r="E674">
        <v>4557</v>
      </c>
      <c r="F674">
        <v>4855.3999999999996</v>
      </c>
    </row>
    <row r="675" spans="1:6" x14ac:dyDescent="0.25">
      <c r="A675" s="1">
        <v>39759</v>
      </c>
      <c r="B675">
        <v>4258</v>
      </c>
      <c r="C675">
        <v>4664</v>
      </c>
      <c r="D675">
        <v>4258</v>
      </c>
      <c r="E675">
        <v>4635</v>
      </c>
      <c r="F675">
        <v>4813.2</v>
      </c>
    </row>
    <row r="676" spans="1:6" x14ac:dyDescent="0.25">
      <c r="A676" s="1">
        <v>39762</v>
      </c>
      <c r="B676">
        <v>4683</v>
      </c>
      <c r="C676">
        <v>4695</v>
      </c>
      <c r="D676">
        <v>4553</v>
      </c>
      <c r="E676">
        <v>4630</v>
      </c>
      <c r="F676">
        <v>4740.2</v>
      </c>
    </row>
    <row r="677" spans="1:6" x14ac:dyDescent="0.25">
      <c r="A677" s="1">
        <v>39763</v>
      </c>
      <c r="B677">
        <v>4510</v>
      </c>
      <c r="C677">
        <v>4645</v>
      </c>
      <c r="D677">
        <v>4460</v>
      </c>
      <c r="E677">
        <v>4470</v>
      </c>
      <c r="F677">
        <v>4638.3999999999996</v>
      </c>
    </row>
    <row r="678" spans="1:6" x14ac:dyDescent="0.25">
      <c r="A678" s="1">
        <v>39764</v>
      </c>
      <c r="B678">
        <v>4487</v>
      </c>
      <c r="C678">
        <v>4598</v>
      </c>
      <c r="D678">
        <v>4420</v>
      </c>
      <c r="E678">
        <v>4525</v>
      </c>
      <c r="F678">
        <v>4563.3999999999996</v>
      </c>
    </row>
    <row r="679" spans="1:6" x14ac:dyDescent="0.25">
      <c r="A679" s="1">
        <v>39765</v>
      </c>
      <c r="B679">
        <v>4300</v>
      </c>
      <c r="C679">
        <v>4334</v>
      </c>
      <c r="D679">
        <v>4206</v>
      </c>
      <c r="E679">
        <v>4282</v>
      </c>
      <c r="F679">
        <v>4508.3999999999996</v>
      </c>
    </row>
    <row r="680" spans="1:6" x14ac:dyDescent="0.25">
      <c r="A680" s="1">
        <v>39766</v>
      </c>
      <c r="B680">
        <v>4480</v>
      </c>
      <c r="C680">
        <v>4500</v>
      </c>
      <c r="D680">
        <v>4344</v>
      </c>
      <c r="E680">
        <v>4383</v>
      </c>
      <c r="F680">
        <v>4458</v>
      </c>
    </row>
    <row r="681" spans="1:6" x14ac:dyDescent="0.25">
      <c r="A681" s="1">
        <v>39769</v>
      </c>
      <c r="B681">
        <v>4283</v>
      </c>
      <c r="C681">
        <v>4433</v>
      </c>
      <c r="D681">
        <v>4266</v>
      </c>
      <c r="E681">
        <v>4360</v>
      </c>
      <c r="F681">
        <v>4404</v>
      </c>
    </row>
    <row r="682" spans="1:6" x14ac:dyDescent="0.25">
      <c r="A682" s="1">
        <v>39770</v>
      </c>
      <c r="B682">
        <v>4310</v>
      </c>
      <c r="C682">
        <v>4335</v>
      </c>
      <c r="D682">
        <v>4208</v>
      </c>
      <c r="E682">
        <v>4241</v>
      </c>
      <c r="F682">
        <v>4358.2</v>
      </c>
    </row>
    <row r="683" spans="1:6" x14ac:dyDescent="0.25">
      <c r="A683" s="1">
        <v>39771</v>
      </c>
      <c r="B683">
        <v>4243</v>
      </c>
      <c r="C683">
        <v>4290</v>
      </c>
      <c r="D683">
        <v>4184</v>
      </c>
      <c r="E683">
        <v>4264</v>
      </c>
      <c r="F683">
        <v>4306</v>
      </c>
    </row>
    <row r="684" spans="1:6" x14ac:dyDescent="0.25">
      <c r="A684" s="1">
        <v>39772</v>
      </c>
      <c r="B684">
        <v>3970</v>
      </c>
      <c r="C684">
        <v>4030</v>
      </c>
      <c r="D684">
        <v>3865</v>
      </c>
      <c r="E684">
        <v>3901</v>
      </c>
      <c r="F684">
        <v>4229.8</v>
      </c>
    </row>
    <row r="685" spans="1:6" x14ac:dyDescent="0.25">
      <c r="A685" s="1">
        <v>39773</v>
      </c>
      <c r="B685">
        <v>3833</v>
      </c>
      <c r="C685">
        <v>4150</v>
      </c>
      <c r="D685">
        <v>3815</v>
      </c>
      <c r="E685">
        <v>4148</v>
      </c>
      <c r="F685">
        <v>4182.8</v>
      </c>
    </row>
    <row r="686" spans="1:6" x14ac:dyDescent="0.25">
      <c r="A686" s="1">
        <v>39776</v>
      </c>
      <c r="B686">
        <v>4061</v>
      </c>
      <c r="C686">
        <v>4109</v>
      </c>
      <c r="D686">
        <v>3973</v>
      </c>
      <c r="E686">
        <v>4048</v>
      </c>
      <c r="F686">
        <v>4120.3999999999996</v>
      </c>
    </row>
    <row r="687" spans="1:6" x14ac:dyDescent="0.25">
      <c r="A687" s="1">
        <v>39777</v>
      </c>
      <c r="B687">
        <v>4225</v>
      </c>
      <c r="C687">
        <v>4285</v>
      </c>
      <c r="D687">
        <v>4115</v>
      </c>
      <c r="E687">
        <v>4188</v>
      </c>
      <c r="F687">
        <v>4109.8</v>
      </c>
    </row>
    <row r="688" spans="1:6" x14ac:dyDescent="0.25">
      <c r="A688" s="1">
        <v>39778</v>
      </c>
      <c r="B688">
        <v>4219</v>
      </c>
      <c r="C688">
        <v>4268</v>
      </c>
      <c r="D688">
        <v>4175</v>
      </c>
      <c r="E688">
        <v>4206</v>
      </c>
      <c r="F688">
        <v>4098.2</v>
      </c>
    </row>
    <row r="689" spans="1:6" x14ac:dyDescent="0.25">
      <c r="A689" s="1">
        <v>39779</v>
      </c>
      <c r="B689">
        <v>4311</v>
      </c>
      <c r="C689">
        <v>4489</v>
      </c>
      <c r="D689">
        <v>4292</v>
      </c>
      <c r="E689">
        <v>4430</v>
      </c>
      <c r="F689">
        <v>4204</v>
      </c>
    </row>
    <row r="690" spans="1:6" x14ac:dyDescent="0.25">
      <c r="A690" s="1">
        <v>39780</v>
      </c>
      <c r="B690">
        <v>4428</v>
      </c>
      <c r="C690">
        <v>4465</v>
      </c>
      <c r="D690">
        <v>4387</v>
      </c>
      <c r="E690">
        <v>4458</v>
      </c>
      <c r="F690">
        <v>4266</v>
      </c>
    </row>
    <row r="691" spans="1:6" x14ac:dyDescent="0.25">
      <c r="A691" s="1">
        <v>39783</v>
      </c>
      <c r="B691">
        <v>4425</v>
      </c>
      <c r="C691">
        <v>4580</v>
      </c>
      <c r="D691">
        <v>4388</v>
      </c>
      <c r="E691">
        <v>4500</v>
      </c>
      <c r="F691">
        <v>4356.3999999999996</v>
      </c>
    </row>
    <row r="692" spans="1:6" x14ac:dyDescent="0.25">
      <c r="A692" s="1">
        <v>39784</v>
      </c>
      <c r="B692">
        <v>4300</v>
      </c>
      <c r="C692">
        <v>4325</v>
      </c>
      <c r="D692">
        <v>4206</v>
      </c>
      <c r="E692">
        <v>4225</v>
      </c>
      <c r="F692">
        <v>4363.8</v>
      </c>
    </row>
    <row r="693" spans="1:6" x14ac:dyDescent="0.25">
      <c r="A693" s="1">
        <v>39785</v>
      </c>
      <c r="B693">
        <v>4270</v>
      </c>
      <c r="C693">
        <v>4307</v>
      </c>
      <c r="D693">
        <v>4182</v>
      </c>
      <c r="E693">
        <v>4187</v>
      </c>
      <c r="F693">
        <v>4360</v>
      </c>
    </row>
    <row r="694" spans="1:6" x14ac:dyDescent="0.25">
      <c r="A694" s="1">
        <v>39786</v>
      </c>
      <c r="B694">
        <v>4240</v>
      </c>
      <c r="C694">
        <v>4285</v>
      </c>
      <c r="D694">
        <v>4100</v>
      </c>
      <c r="E694">
        <v>4134</v>
      </c>
      <c r="F694">
        <v>4300.8</v>
      </c>
    </row>
    <row r="695" spans="1:6" x14ac:dyDescent="0.25">
      <c r="A695" s="1">
        <v>39787</v>
      </c>
      <c r="B695">
        <v>4170</v>
      </c>
      <c r="C695">
        <v>4203</v>
      </c>
      <c r="D695">
        <v>4105</v>
      </c>
      <c r="E695">
        <v>4183</v>
      </c>
      <c r="F695">
        <v>4245.8</v>
      </c>
    </row>
    <row r="696" spans="1:6" x14ac:dyDescent="0.25">
      <c r="A696" s="1">
        <v>39790</v>
      </c>
      <c r="B696">
        <v>4235</v>
      </c>
      <c r="C696">
        <v>4471</v>
      </c>
      <c r="D696">
        <v>4231</v>
      </c>
      <c r="E696">
        <v>4471</v>
      </c>
      <c r="F696">
        <v>4240</v>
      </c>
    </row>
    <row r="697" spans="1:6" x14ac:dyDescent="0.25">
      <c r="A697" s="1">
        <v>39791</v>
      </c>
      <c r="B697">
        <v>4511</v>
      </c>
      <c r="C697">
        <v>4545</v>
      </c>
      <c r="D697">
        <v>4431</v>
      </c>
      <c r="E697">
        <v>4464</v>
      </c>
      <c r="F697">
        <v>4287.8</v>
      </c>
    </row>
    <row r="698" spans="1:6" x14ac:dyDescent="0.25">
      <c r="A698" s="1">
        <v>39792</v>
      </c>
      <c r="B698">
        <v>4481</v>
      </c>
      <c r="C698">
        <v>4725</v>
      </c>
      <c r="D698">
        <v>4471</v>
      </c>
      <c r="E698">
        <v>4695</v>
      </c>
      <c r="F698">
        <v>4389.3999999999996</v>
      </c>
    </row>
    <row r="699" spans="1:6" x14ac:dyDescent="0.25">
      <c r="A699" s="1">
        <v>39793</v>
      </c>
      <c r="B699">
        <v>4651</v>
      </c>
      <c r="C699">
        <v>4705</v>
      </c>
      <c r="D699">
        <v>4624</v>
      </c>
      <c r="E699">
        <v>4669</v>
      </c>
      <c r="F699">
        <v>4496.3999999999996</v>
      </c>
    </row>
    <row r="700" spans="1:6" x14ac:dyDescent="0.25">
      <c r="A700" s="1">
        <v>39794</v>
      </c>
      <c r="B700">
        <v>4585</v>
      </c>
      <c r="C700">
        <v>4643</v>
      </c>
      <c r="D700">
        <v>4344</v>
      </c>
      <c r="E700">
        <v>4419</v>
      </c>
      <c r="F700">
        <v>4543.6000000000004</v>
      </c>
    </row>
    <row r="701" spans="1:6" x14ac:dyDescent="0.25">
      <c r="A701" s="1">
        <v>39797</v>
      </c>
      <c r="B701">
        <v>4612</v>
      </c>
      <c r="C701">
        <v>4719</v>
      </c>
      <c r="D701">
        <v>4555</v>
      </c>
      <c r="E701">
        <v>4603</v>
      </c>
      <c r="F701">
        <v>4570</v>
      </c>
    </row>
    <row r="702" spans="1:6" x14ac:dyDescent="0.25">
      <c r="A702" s="1">
        <v>39798</v>
      </c>
      <c r="B702">
        <v>4540</v>
      </c>
      <c r="C702">
        <v>4615</v>
      </c>
      <c r="D702">
        <v>4523</v>
      </c>
      <c r="E702">
        <v>4595</v>
      </c>
      <c r="F702">
        <v>4596.2</v>
      </c>
    </row>
    <row r="703" spans="1:6" x14ac:dyDescent="0.25">
      <c r="A703" s="1">
        <v>39799</v>
      </c>
      <c r="B703">
        <v>4695</v>
      </c>
      <c r="C703">
        <v>4734</v>
      </c>
      <c r="D703">
        <v>4621</v>
      </c>
      <c r="E703">
        <v>4666</v>
      </c>
      <c r="F703">
        <v>4590.3999999999996</v>
      </c>
    </row>
    <row r="704" spans="1:6" x14ac:dyDescent="0.25">
      <c r="A704" s="1">
        <v>39800</v>
      </c>
      <c r="B704">
        <v>4667</v>
      </c>
      <c r="C704">
        <v>4705</v>
      </c>
      <c r="D704">
        <v>4596</v>
      </c>
      <c r="E704">
        <v>4700</v>
      </c>
      <c r="F704">
        <v>4596.6000000000004</v>
      </c>
    </row>
    <row r="705" spans="1:6" x14ac:dyDescent="0.25">
      <c r="A705" s="1">
        <v>39801</v>
      </c>
      <c r="B705">
        <v>4663</v>
      </c>
      <c r="C705">
        <v>4728</v>
      </c>
      <c r="D705">
        <v>4582</v>
      </c>
      <c r="E705">
        <v>4677</v>
      </c>
      <c r="F705">
        <v>4648.2</v>
      </c>
    </row>
    <row r="706" spans="1:6" x14ac:dyDescent="0.25">
      <c r="A706" s="1">
        <v>39804</v>
      </c>
      <c r="B706">
        <v>4710</v>
      </c>
      <c r="C706">
        <v>4756</v>
      </c>
      <c r="D706">
        <v>4496</v>
      </c>
      <c r="E706">
        <v>4522</v>
      </c>
      <c r="F706">
        <v>4632</v>
      </c>
    </row>
    <row r="707" spans="1:6" x14ac:dyDescent="0.25">
      <c r="A707" s="1">
        <v>39805</v>
      </c>
      <c r="B707">
        <v>4503</v>
      </c>
      <c r="C707">
        <v>4524</v>
      </c>
      <c r="D707">
        <v>4289</v>
      </c>
      <c r="E707">
        <v>4350</v>
      </c>
      <c r="F707">
        <v>4583</v>
      </c>
    </row>
    <row r="708" spans="1:6" x14ac:dyDescent="0.25">
      <c r="A708" s="1">
        <v>39806</v>
      </c>
      <c r="B708">
        <v>4301</v>
      </c>
      <c r="C708">
        <v>4399</v>
      </c>
      <c r="D708">
        <v>4242</v>
      </c>
      <c r="E708">
        <v>4381</v>
      </c>
      <c r="F708">
        <v>4526</v>
      </c>
    </row>
    <row r="709" spans="1:6" x14ac:dyDescent="0.25">
      <c r="A709" s="1">
        <v>39807</v>
      </c>
      <c r="B709">
        <v>4385</v>
      </c>
      <c r="C709">
        <v>4400</v>
      </c>
      <c r="D709">
        <v>4330</v>
      </c>
      <c r="E709">
        <v>4395</v>
      </c>
      <c r="F709">
        <v>4465</v>
      </c>
    </row>
    <row r="710" spans="1:6" x14ac:dyDescent="0.25">
      <c r="A710" s="1">
        <v>39808</v>
      </c>
      <c r="B710">
        <v>4375</v>
      </c>
      <c r="C710">
        <v>4445</v>
      </c>
      <c r="D710">
        <v>4340</v>
      </c>
      <c r="E710">
        <v>4380</v>
      </c>
      <c r="F710">
        <v>4405.6000000000004</v>
      </c>
    </row>
    <row r="711" spans="1:6" x14ac:dyDescent="0.25">
      <c r="A711" s="1">
        <v>39811</v>
      </c>
      <c r="B711">
        <v>4355</v>
      </c>
      <c r="C711">
        <v>4398</v>
      </c>
      <c r="D711">
        <v>4318</v>
      </c>
      <c r="E711">
        <v>4388</v>
      </c>
      <c r="F711">
        <v>4378.8</v>
      </c>
    </row>
    <row r="712" spans="1:6" x14ac:dyDescent="0.25">
      <c r="A712" s="1">
        <v>39812</v>
      </c>
      <c r="B712">
        <v>4410</v>
      </c>
      <c r="C712">
        <v>4604</v>
      </c>
      <c r="D712">
        <v>4410</v>
      </c>
      <c r="E712">
        <v>4567</v>
      </c>
      <c r="F712">
        <v>4422.2</v>
      </c>
    </row>
    <row r="713" spans="1:6" x14ac:dyDescent="0.25">
      <c r="A713" s="1">
        <v>39813</v>
      </c>
      <c r="B713">
        <v>4605</v>
      </c>
      <c r="C713">
        <v>4618</v>
      </c>
      <c r="D713">
        <v>4483</v>
      </c>
      <c r="E713">
        <v>4552</v>
      </c>
      <c r="F713">
        <v>4456.3999999999996</v>
      </c>
    </row>
    <row r="714" spans="1:6" x14ac:dyDescent="0.25">
      <c r="A714" s="1">
        <v>39818</v>
      </c>
      <c r="B714">
        <v>4700</v>
      </c>
      <c r="C714">
        <v>4797</v>
      </c>
      <c r="D714">
        <v>4635</v>
      </c>
      <c r="E714">
        <v>4670</v>
      </c>
      <c r="F714">
        <v>4511.3999999999996</v>
      </c>
    </row>
    <row r="715" spans="1:6" x14ac:dyDescent="0.25">
      <c r="A715" s="1">
        <v>39819</v>
      </c>
      <c r="B715">
        <v>4699</v>
      </c>
      <c r="C715">
        <v>4735</v>
      </c>
      <c r="D715">
        <v>4640</v>
      </c>
      <c r="E715">
        <v>4708</v>
      </c>
      <c r="F715">
        <v>4577</v>
      </c>
    </row>
    <row r="716" spans="1:6" x14ac:dyDescent="0.25">
      <c r="A716" s="1">
        <v>39820</v>
      </c>
      <c r="B716">
        <v>4750</v>
      </c>
      <c r="C716">
        <v>4800</v>
      </c>
      <c r="D716">
        <v>4711</v>
      </c>
      <c r="E716">
        <v>4753</v>
      </c>
      <c r="F716">
        <v>4650</v>
      </c>
    </row>
    <row r="717" spans="1:6" x14ac:dyDescent="0.25">
      <c r="A717" s="1">
        <v>39821</v>
      </c>
      <c r="B717">
        <v>4651</v>
      </c>
      <c r="C717">
        <v>4655</v>
      </c>
      <c r="D717">
        <v>4434</v>
      </c>
      <c r="E717">
        <v>4452</v>
      </c>
      <c r="F717">
        <v>4627</v>
      </c>
    </row>
    <row r="718" spans="1:6" x14ac:dyDescent="0.25">
      <c r="A718" s="1">
        <v>39822</v>
      </c>
      <c r="B718">
        <v>4479</v>
      </c>
      <c r="C718">
        <v>4495</v>
      </c>
      <c r="D718">
        <v>4405</v>
      </c>
      <c r="E718">
        <v>4424</v>
      </c>
      <c r="F718">
        <v>4601.3999999999996</v>
      </c>
    </row>
    <row r="719" spans="1:6" x14ac:dyDescent="0.25">
      <c r="A719" s="1">
        <v>39823</v>
      </c>
      <c r="B719">
        <v>4370</v>
      </c>
      <c r="C719">
        <v>4426</v>
      </c>
      <c r="D719">
        <v>4345</v>
      </c>
      <c r="E719">
        <v>4374</v>
      </c>
      <c r="F719">
        <v>4542.2</v>
      </c>
    </row>
    <row r="720" spans="1:6" x14ac:dyDescent="0.25">
      <c r="A720" s="1">
        <v>39825</v>
      </c>
      <c r="B720">
        <v>4381</v>
      </c>
      <c r="C720">
        <v>4473</v>
      </c>
      <c r="D720">
        <v>4348</v>
      </c>
      <c r="E720">
        <v>4425</v>
      </c>
      <c r="F720">
        <v>4485.6000000000004</v>
      </c>
    </row>
    <row r="721" spans="1:6" x14ac:dyDescent="0.25">
      <c r="A721" s="1">
        <v>39826</v>
      </c>
      <c r="B721">
        <v>4369</v>
      </c>
      <c r="C721">
        <v>4525</v>
      </c>
      <c r="D721">
        <v>4360</v>
      </c>
      <c r="E721">
        <v>4525</v>
      </c>
      <c r="F721">
        <v>4440</v>
      </c>
    </row>
    <row r="722" spans="1:6" x14ac:dyDescent="0.25">
      <c r="A722" s="1">
        <v>39827</v>
      </c>
      <c r="B722">
        <v>4500</v>
      </c>
      <c r="C722">
        <v>4550</v>
      </c>
      <c r="D722">
        <v>4476</v>
      </c>
      <c r="E722">
        <v>4512</v>
      </c>
      <c r="F722">
        <v>4452</v>
      </c>
    </row>
    <row r="723" spans="1:6" x14ac:dyDescent="0.25">
      <c r="A723" s="1">
        <v>39828</v>
      </c>
      <c r="B723">
        <v>4233</v>
      </c>
      <c r="C723">
        <v>4300</v>
      </c>
      <c r="D723">
        <v>4220</v>
      </c>
      <c r="E723">
        <v>4241</v>
      </c>
      <c r="F723">
        <v>4415.3999999999996</v>
      </c>
    </row>
    <row r="724" spans="1:6" x14ac:dyDescent="0.25">
      <c r="A724" s="1">
        <v>39829</v>
      </c>
      <c r="B724">
        <v>4281</v>
      </c>
      <c r="C724">
        <v>4329</v>
      </c>
      <c r="D724">
        <v>4250</v>
      </c>
      <c r="E724">
        <v>4325</v>
      </c>
      <c r="F724">
        <v>4405.6000000000004</v>
      </c>
    </row>
    <row r="725" spans="1:6" x14ac:dyDescent="0.25">
      <c r="A725" s="1">
        <v>39830</v>
      </c>
      <c r="B725">
        <v>4337</v>
      </c>
      <c r="C725">
        <v>4358</v>
      </c>
      <c r="D725">
        <v>4306</v>
      </c>
      <c r="E725">
        <v>4349</v>
      </c>
      <c r="F725">
        <v>4390.3999999999996</v>
      </c>
    </row>
    <row r="726" spans="1:6" x14ac:dyDescent="0.25">
      <c r="A726" s="1">
        <v>39832</v>
      </c>
      <c r="B726">
        <v>4370</v>
      </c>
      <c r="C726">
        <v>4395</v>
      </c>
      <c r="D726">
        <v>4325</v>
      </c>
      <c r="E726">
        <v>4361</v>
      </c>
      <c r="F726">
        <v>4357.6000000000004</v>
      </c>
    </row>
    <row r="727" spans="1:6" x14ac:dyDescent="0.25">
      <c r="A727" s="1">
        <v>39833</v>
      </c>
      <c r="B727">
        <v>4300</v>
      </c>
      <c r="C727">
        <v>4300</v>
      </c>
      <c r="D727">
        <v>4205</v>
      </c>
      <c r="E727">
        <v>4242</v>
      </c>
      <c r="F727">
        <v>4303.6000000000004</v>
      </c>
    </row>
    <row r="728" spans="1:6" x14ac:dyDescent="0.25">
      <c r="A728" s="1">
        <v>39834</v>
      </c>
      <c r="B728">
        <v>4103</v>
      </c>
      <c r="C728">
        <v>4264</v>
      </c>
      <c r="D728">
        <v>4102</v>
      </c>
      <c r="E728">
        <v>4254</v>
      </c>
      <c r="F728">
        <v>4306.2</v>
      </c>
    </row>
    <row r="729" spans="1:6" x14ac:dyDescent="0.25">
      <c r="A729" s="1">
        <v>39846</v>
      </c>
      <c r="B729">
        <v>4185</v>
      </c>
      <c r="C729">
        <v>4197</v>
      </c>
      <c r="D729">
        <v>4115</v>
      </c>
      <c r="E729">
        <v>4162</v>
      </c>
      <c r="F729">
        <v>4273.6000000000004</v>
      </c>
    </row>
    <row r="730" spans="1:6" x14ac:dyDescent="0.25">
      <c r="A730" s="1">
        <v>39847</v>
      </c>
      <c r="B730">
        <v>4169</v>
      </c>
      <c r="C730">
        <v>4327</v>
      </c>
      <c r="D730">
        <v>4160</v>
      </c>
      <c r="E730">
        <v>4278</v>
      </c>
      <c r="F730">
        <v>4259.3999999999996</v>
      </c>
    </row>
    <row r="731" spans="1:6" x14ac:dyDescent="0.25">
      <c r="A731" s="1">
        <v>39848</v>
      </c>
      <c r="B731">
        <v>4328</v>
      </c>
      <c r="C731">
        <v>4374</v>
      </c>
      <c r="D731">
        <v>4286</v>
      </c>
      <c r="E731">
        <v>4355</v>
      </c>
      <c r="F731">
        <v>4258.2</v>
      </c>
    </row>
    <row r="732" spans="1:6" x14ac:dyDescent="0.25">
      <c r="A732" s="1">
        <v>39849</v>
      </c>
      <c r="B732">
        <v>4325</v>
      </c>
      <c r="C732">
        <v>4390</v>
      </c>
      <c r="D732">
        <v>4268</v>
      </c>
      <c r="E732">
        <v>4270</v>
      </c>
      <c r="F732">
        <v>4263.8</v>
      </c>
    </row>
    <row r="733" spans="1:6" x14ac:dyDescent="0.25">
      <c r="A733" s="1">
        <v>39850</v>
      </c>
      <c r="B733">
        <v>4350</v>
      </c>
      <c r="C733">
        <v>4478</v>
      </c>
      <c r="D733">
        <v>4350</v>
      </c>
      <c r="E733">
        <v>4442</v>
      </c>
      <c r="F733">
        <v>4301.3999999999996</v>
      </c>
    </row>
    <row r="734" spans="1:6" x14ac:dyDescent="0.25">
      <c r="A734" s="1">
        <v>39853</v>
      </c>
      <c r="B734">
        <v>4505</v>
      </c>
      <c r="C734">
        <v>4524</v>
      </c>
      <c r="D734">
        <v>4425</v>
      </c>
      <c r="E734">
        <v>4451</v>
      </c>
      <c r="F734">
        <v>4359.2</v>
      </c>
    </row>
    <row r="735" spans="1:6" x14ac:dyDescent="0.25">
      <c r="A735" s="1">
        <v>39854</v>
      </c>
      <c r="B735">
        <v>4455</v>
      </c>
      <c r="C735">
        <v>4500</v>
      </c>
      <c r="D735">
        <v>4434</v>
      </c>
      <c r="E735">
        <v>4496</v>
      </c>
      <c r="F735">
        <v>4402.8</v>
      </c>
    </row>
    <row r="736" spans="1:6" x14ac:dyDescent="0.25">
      <c r="A736" s="1">
        <v>39855</v>
      </c>
      <c r="B736">
        <v>4387</v>
      </c>
      <c r="C736">
        <v>4578</v>
      </c>
      <c r="D736">
        <v>4372</v>
      </c>
      <c r="E736">
        <v>4562</v>
      </c>
      <c r="F736">
        <v>4444.2</v>
      </c>
    </row>
    <row r="737" spans="1:6" x14ac:dyDescent="0.25">
      <c r="A737" s="1">
        <v>39856</v>
      </c>
      <c r="B737">
        <v>4525</v>
      </c>
      <c r="C737">
        <v>4563</v>
      </c>
      <c r="D737">
        <v>4400</v>
      </c>
      <c r="E737">
        <v>4444</v>
      </c>
      <c r="F737">
        <v>4479</v>
      </c>
    </row>
    <row r="738" spans="1:6" x14ac:dyDescent="0.25">
      <c r="A738" s="1">
        <v>39857</v>
      </c>
      <c r="B738">
        <v>4460</v>
      </c>
      <c r="C738">
        <v>4590</v>
      </c>
      <c r="D738">
        <v>4450</v>
      </c>
      <c r="E738">
        <v>4568</v>
      </c>
      <c r="F738">
        <v>4504.2</v>
      </c>
    </row>
    <row r="739" spans="1:6" x14ac:dyDescent="0.25">
      <c r="A739" s="1">
        <v>39860</v>
      </c>
      <c r="B739">
        <v>4550</v>
      </c>
      <c r="C739">
        <v>4590</v>
      </c>
      <c r="D739">
        <v>4534</v>
      </c>
      <c r="E739">
        <v>4572</v>
      </c>
      <c r="F739">
        <v>4528.3999999999996</v>
      </c>
    </row>
    <row r="740" spans="1:6" x14ac:dyDescent="0.25">
      <c r="A740" s="1">
        <v>39861</v>
      </c>
      <c r="B740">
        <v>4534</v>
      </c>
      <c r="C740">
        <v>4559</v>
      </c>
      <c r="D740">
        <v>4440</v>
      </c>
      <c r="E740">
        <v>4491</v>
      </c>
      <c r="F740">
        <v>4527.3999999999996</v>
      </c>
    </row>
    <row r="741" spans="1:6" x14ac:dyDescent="0.25">
      <c r="A741" s="1">
        <v>39862</v>
      </c>
      <c r="B741">
        <v>4462</v>
      </c>
      <c r="C741">
        <v>4520</v>
      </c>
      <c r="D741">
        <v>4422</v>
      </c>
      <c r="E741">
        <v>4515</v>
      </c>
      <c r="F741">
        <v>4518</v>
      </c>
    </row>
    <row r="742" spans="1:6" x14ac:dyDescent="0.25">
      <c r="A742" s="1">
        <v>39863</v>
      </c>
      <c r="B742">
        <v>4416</v>
      </c>
      <c r="C742">
        <v>4523</v>
      </c>
      <c r="D742">
        <v>4340</v>
      </c>
      <c r="E742">
        <v>4473</v>
      </c>
      <c r="F742">
        <v>4523.8</v>
      </c>
    </row>
    <row r="743" spans="1:6" x14ac:dyDescent="0.25">
      <c r="A743" s="1">
        <v>39864</v>
      </c>
      <c r="B743">
        <v>4424</v>
      </c>
      <c r="C743">
        <v>4450</v>
      </c>
      <c r="D743">
        <v>4349</v>
      </c>
      <c r="E743">
        <v>4363</v>
      </c>
      <c r="F743">
        <v>4482.8</v>
      </c>
    </row>
    <row r="744" spans="1:6" x14ac:dyDescent="0.25">
      <c r="A744" s="1">
        <v>39867</v>
      </c>
      <c r="B744">
        <v>4330</v>
      </c>
      <c r="C744">
        <v>4433</v>
      </c>
      <c r="D744">
        <v>4296</v>
      </c>
      <c r="E744">
        <v>4430</v>
      </c>
      <c r="F744">
        <v>4454.3999999999996</v>
      </c>
    </row>
    <row r="745" spans="1:6" x14ac:dyDescent="0.25">
      <c r="A745" s="1">
        <v>39868</v>
      </c>
      <c r="B745">
        <v>4335</v>
      </c>
      <c r="C745">
        <v>4394</v>
      </c>
      <c r="D745">
        <v>4314</v>
      </c>
      <c r="E745">
        <v>4379</v>
      </c>
      <c r="F745">
        <v>4432</v>
      </c>
    </row>
    <row r="746" spans="1:6" x14ac:dyDescent="0.25">
      <c r="A746" s="1">
        <v>39869</v>
      </c>
      <c r="B746">
        <v>4432</v>
      </c>
      <c r="C746">
        <v>4519</v>
      </c>
      <c r="D746">
        <v>4416</v>
      </c>
      <c r="E746">
        <v>4469</v>
      </c>
      <c r="F746">
        <v>4422.8</v>
      </c>
    </row>
    <row r="747" spans="1:6" x14ac:dyDescent="0.25">
      <c r="A747" s="1">
        <v>39870</v>
      </c>
      <c r="B747">
        <v>4509</v>
      </c>
      <c r="C747">
        <v>4538</v>
      </c>
      <c r="D747">
        <v>4441</v>
      </c>
      <c r="E747">
        <v>4474</v>
      </c>
      <c r="F747">
        <v>4423</v>
      </c>
    </row>
    <row r="748" spans="1:6" x14ac:dyDescent="0.25">
      <c r="A748" s="1">
        <v>39871</v>
      </c>
      <c r="B748">
        <v>4468</v>
      </c>
      <c r="C748">
        <v>4528</v>
      </c>
      <c r="D748">
        <v>4453</v>
      </c>
      <c r="E748">
        <v>4513</v>
      </c>
      <c r="F748">
        <v>4453</v>
      </c>
    </row>
    <row r="749" spans="1:6" x14ac:dyDescent="0.25">
      <c r="A749" s="1">
        <v>39874</v>
      </c>
      <c r="B749">
        <v>4440</v>
      </c>
      <c r="C749">
        <v>4460</v>
      </c>
      <c r="D749">
        <v>4302</v>
      </c>
      <c r="E749">
        <v>4325</v>
      </c>
      <c r="F749">
        <v>4432</v>
      </c>
    </row>
    <row r="750" spans="1:6" x14ac:dyDescent="0.25">
      <c r="A750" s="1">
        <v>39875</v>
      </c>
      <c r="B750">
        <v>4271</v>
      </c>
      <c r="C750">
        <v>4377</v>
      </c>
      <c r="D750">
        <v>4240</v>
      </c>
      <c r="E750">
        <v>4369</v>
      </c>
      <c r="F750">
        <v>4430</v>
      </c>
    </row>
    <row r="751" spans="1:6" x14ac:dyDescent="0.25">
      <c r="A751" s="1">
        <v>39876</v>
      </c>
      <c r="B751">
        <v>4335</v>
      </c>
      <c r="C751">
        <v>4519</v>
      </c>
      <c r="D751">
        <v>4322</v>
      </c>
      <c r="E751">
        <v>4519</v>
      </c>
      <c r="F751">
        <v>4440</v>
      </c>
    </row>
    <row r="752" spans="1:6" x14ac:dyDescent="0.25">
      <c r="A752" s="1">
        <v>39877</v>
      </c>
      <c r="B752">
        <v>4549</v>
      </c>
      <c r="C752">
        <v>4647</v>
      </c>
      <c r="D752">
        <v>4536</v>
      </c>
      <c r="E752">
        <v>4596</v>
      </c>
      <c r="F752">
        <v>4464.3999999999996</v>
      </c>
    </row>
    <row r="753" spans="1:6" x14ac:dyDescent="0.25">
      <c r="A753" s="1">
        <v>39878</v>
      </c>
      <c r="B753">
        <v>4545</v>
      </c>
      <c r="C753">
        <v>4638</v>
      </c>
      <c r="D753">
        <v>4539</v>
      </c>
      <c r="E753">
        <v>4635</v>
      </c>
      <c r="F753">
        <v>4488.8</v>
      </c>
    </row>
    <row r="754" spans="1:6" x14ac:dyDescent="0.25">
      <c r="A754" s="1">
        <v>39881</v>
      </c>
      <c r="B754">
        <v>4670</v>
      </c>
      <c r="C754">
        <v>4675</v>
      </c>
      <c r="D754">
        <v>4545</v>
      </c>
      <c r="E754">
        <v>4625</v>
      </c>
      <c r="F754">
        <v>4548.8</v>
      </c>
    </row>
    <row r="755" spans="1:6" x14ac:dyDescent="0.25">
      <c r="A755" s="1">
        <v>39882</v>
      </c>
      <c r="B755">
        <v>4613</v>
      </c>
      <c r="C755">
        <v>4668</v>
      </c>
      <c r="D755">
        <v>4568</v>
      </c>
      <c r="E755">
        <v>4655</v>
      </c>
      <c r="F755">
        <v>4606</v>
      </c>
    </row>
    <row r="756" spans="1:6" x14ac:dyDescent="0.25">
      <c r="A756" s="1">
        <v>39883</v>
      </c>
      <c r="B756">
        <v>4775</v>
      </c>
      <c r="C756">
        <v>4785</v>
      </c>
      <c r="D756">
        <v>4715</v>
      </c>
      <c r="E756">
        <v>4759</v>
      </c>
      <c r="F756">
        <v>4654</v>
      </c>
    </row>
    <row r="757" spans="1:6" x14ac:dyDescent="0.25">
      <c r="A757" s="1">
        <v>39884</v>
      </c>
      <c r="B757">
        <v>4758</v>
      </c>
      <c r="C757">
        <v>4780</v>
      </c>
      <c r="D757">
        <v>4724</v>
      </c>
      <c r="E757">
        <v>4748</v>
      </c>
      <c r="F757">
        <v>4684.3999999999996</v>
      </c>
    </row>
    <row r="758" spans="1:6" x14ac:dyDescent="0.25">
      <c r="A758" s="1">
        <v>39885</v>
      </c>
      <c r="B758">
        <v>4818</v>
      </c>
      <c r="C758">
        <v>4942</v>
      </c>
      <c r="D758">
        <v>4813</v>
      </c>
      <c r="E758">
        <v>4901</v>
      </c>
      <c r="F758">
        <v>4737.6000000000004</v>
      </c>
    </row>
    <row r="759" spans="1:6" x14ac:dyDescent="0.25">
      <c r="A759" s="1">
        <v>39888</v>
      </c>
      <c r="B759">
        <v>4925</v>
      </c>
      <c r="C759">
        <v>4986</v>
      </c>
      <c r="D759">
        <v>4906</v>
      </c>
      <c r="E759">
        <v>4960</v>
      </c>
      <c r="F759">
        <v>4804.6000000000004</v>
      </c>
    </row>
    <row r="760" spans="1:6" x14ac:dyDescent="0.25">
      <c r="A760" s="1">
        <v>39889</v>
      </c>
      <c r="B760">
        <v>4984</v>
      </c>
      <c r="C760">
        <v>5070</v>
      </c>
      <c r="D760">
        <v>4947</v>
      </c>
      <c r="E760">
        <v>5058</v>
      </c>
      <c r="F760">
        <v>4885.2</v>
      </c>
    </row>
    <row r="761" spans="1:6" x14ac:dyDescent="0.25">
      <c r="A761" s="1">
        <v>39890</v>
      </c>
      <c r="B761">
        <v>5090</v>
      </c>
      <c r="C761">
        <v>5095</v>
      </c>
      <c r="D761">
        <v>5023</v>
      </c>
      <c r="E761">
        <v>5069</v>
      </c>
      <c r="F761">
        <v>4947.2</v>
      </c>
    </row>
    <row r="762" spans="1:6" x14ac:dyDescent="0.25">
      <c r="A762" s="1">
        <v>39891</v>
      </c>
      <c r="B762">
        <v>5040</v>
      </c>
      <c r="C762">
        <v>5105</v>
      </c>
      <c r="D762">
        <v>4975</v>
      </c>
      <c r="E762">
        <v>4982</v>
      </c>
      <c r="F762">
        <v>4994</v>
      </c>
    </row>
    <row r="763" spans="1:6" x14ac:dyDescent="0.25">
      <c r="A763" s="1">
        <v>39892</v>
      </c>
      <c r="B763">
        <v>4999</v>
      </c>
      <c r="C763">
        <v>5039</v>
      </c>
      <c r="D763">
        <v>4923</v>
      </c>
      <c r="E763">
        <v>4952</v>
      </c>
      <c r="F763">
        <v>5004.2</v>
      </c>
    </row>
    <row r="764" spans="1:6" x14ac:dyDescent="0.25">
      <c r="A764" s="1">
        <v>39895</v>
      </c>
      <c r="B764">
        <v>5000</v>
      </c>
      <c r="C764">
        <v>5133</v>
      </c>
      <c r="D764">
        <v>4991</v>
      </c>
      <c r="E764">
        <v>5131</v>
      </c>
      <c r="F764">
        <v>5038.3999999999996</v>
      </c>
    </row>
    <row r="765" spans="1:6" x14ac:dyDescent="0.25">
      <c r="A765" s="1">
        <v>39896</v>
      </c>
      <c r="B765">
        <v>5216</v>
      </c>
      <c r="C765">
        <v>5268</v>
      </c>
      <c r="D765">
        <v>5187</v>
      </c>
      <c r="E765">
        <v>5262</v>
      </c>
      <c r="F765">
        <v>5079.2</v>
      </c>
    </row>
    <row r="766" spans="1:6" x14ac:dyDescent="0.25">
      <c r="A766" s="1">
        <v>39897</v>
      </c>
      <c r="B766">
        <v>5240</v>
      </c>
      <c r="C766">
        <v>5389</v>
      </c>
      <c r="D766">
        <v>5232</v>
      </c>
      <c r="E766">
        <v>5366</v>
      </c>
      <c r="F766">
        <v>5138.6000000000004</v>
      </c>
    </row>
    <row r="767" spans="1:6" x14ac:dyDescent="0.25">
      <c r="A767" s="1">
        <v>39898</v>
      </c>
      <c r="B767">
        <v>5360</v>
      </c>
      <c r="C767">
        <v>5433</v>
      </c>
      <c r="D767">
        <v>5317</v>
      </c>
      <c r="E767">
        <v>5387</v>
      </c>
      <c r="F767">
        <v>5219.6000000000004</v>
      </c>
    </row>
    <row r="768" spans="1:6" x14ac:dyDescent="0.25">
      <c r="A768" s="1">
        <v>39899</v>
      </c>
      <c r="B768">
        <v>5428</v>
      </c>
      <c r="C768">
        <v>5452</v>
      </c>
      <c r="D768">
        <v>5336</v>
      </c>
      <c r="E768">
        <v>5353</v>
      </c>
      <c r="F768">
        <v>5299.8</v>
      </c>
    </row>
    <row r="769" spans="1:6" x14ac:dyDescent="0.25">
      <c r="A769" s="1">
        <v>39902</v>
      </c>
      <c r="B769">
        <v>5350</v>
      </c>
      <c r="C769">
        <v>5360</v>
      </c>
      <c r="D769">
        <v>5145</v>
      </c>
      <c r="E769">
        <v>5177</v>
      </c>
      <c r="F769">
        <v>5309</v>
      </c>
    </row>
    <row r="770" spans="1:6" x14ac:dyDescent="0.25">
      <c r="A770" s="1">
        <v>39903</v>
      </c>
      <c r="B770">
        <v>5209</v>
      </c>
      <c r="C770">
        <v>5295</v>
      </c>
      <c r="D770">
        <v>5175</v>
      </c>
      <c r="E770">
        <v>5203</v>
      </c>
      <c r="F770">
        <v>5297.2</v>
      </c>
    </row>
    <row r="771" spans="1:6" x14ac:dyDescent="0.25">
      <c r="A771" s="1">
        <v>39904</v>
      </c>
      <c r="B771">
        <v>5231</v>
      </c>
      <c r="C771">
        <v>5344</v>
      </c>
      <c r="D771">
        <v>5223</v>
      </c>
      <c r="E771">
        <v>5313</v>
      </c>
      <c r="F771">
        <v>5286.6</v>
      </c>
    </row>
    <row r="772" spans="1:6" x14ac:dyDescent="0.25">
      <c r="A772" s="1">
        <v>39905</v>
      </c>
      <c r="B772">
        <v>5408</v>
      </c>
      <c r="C772">
        <v>5520</v>
      </c>
      <c r="D772">
        <v>5401</v>
      </c>
      <c r="E772">
        <v>5514</v>
      </c>
      <c r="F772">
        <v>5312</v>
      </c>
    </row>
    <row r="773" spans="1:6" x14ac:dyDescent="0.25">
      <c r="A773" s="1">
        <v>39906</v>
      </c>
      <c r="B773">
        <v>5563</v>
      </c>
      <c r="C773">
        <v>5568</v>
      </c>
      <c r="D773">
        <v>5475</v>
      </c>
      <c r="E773">
        <v>5513</v>
      </c>
      <c r="F773">
        <v>5344</v>
      </c>
    </row>
    <row r="774" spans="1:6" x14ac:dyDescent="0.25">
      <c r="A774" s="1">
        <v>39909</v>
      </c>
      <c r="B774">
        <v>5551</v>
      </c>
      <c r="C774">
        <v>5619</v>
      </c>
      <c r="D774">
        <v>5496</v>
      </c>
      <c r="E774">
        <v>5527</v>
      </c>
      <c r="F774">
        <v>5414</v>
      </c>
    </row>
    <row r="775" spans="1:6" x14ac:dyDescent="0.25">
      <c r="A775" s="1">
        <v>39910</v>
      </c>
      <c r="B775">
        <v>5505</v>
      </c>
      <c r="C775">
        <v>5589</v>
      </c>
      <c r="D775">
        <v>5463</v>
      </c>
      <c r="E775">
        <v>5589</v>
      </c>
      <c r="F775">
        <v>5491.2</v>
      </c>
    </row>
    <row r="776" spans="1:6" x14ac:dyDescent="0.25">
      <c r="A776" s="1">
        <v>39911</v>
      </c>
      <c r="B776">
        <v>5501</v>
      </c>
      <c r="C776">
        <v>5583</v>
      </c>
      <c r="D776">
        <v>5418</v>
      </c>
      <c r="E776">
        <v>5461</v>
      </c>
      <c r="F776">
        <v>5520.8</v>
      </c>
    </row>
    <row r="777" spans="1:6" x14ac:dyDescent="0.25">
      <c r="A777" s="1">
        <v>39912</v>
      </c>
      <c r="B777">
        <v>5526</v>
      </c>
      <c r="C777">
        <v>5718</v>
      </c>
      <c r="D777">
        <v>5522</v>
      </c>
      <c r="E777">
        <v>5718</v>
      </c>
      <c r="F777">
        <v>5561.6</v>
      </c>
    </row>
    <row r="778" spans="1:6" x14ac:dyDescent="0.25">
      <c r="A778" s="1">
        <v>39913</v>
      </c>
      <c r="B778">
        <v>5760</v>
      </c>
      <c r="C778">
        <v>5830</v>
      </c>
      <c r="D778">
        <v>5696</v>
      </c>
      <c r="E778">
        <v>5829</v>
      </c>
      <c r="F778">
        <v>5624.8</v>
      </c>
    </row>
    <row r="779" spans="1:6" x14ac:dyDescent="0.25">
      <c r="A779" s="1">
        <v>39916</v>
      </c>
      <c r="B779">
        <v>5838</v>
      </c>
      <c r="C779">
        <v>5874</v>
      </c>
      <c r="D779">
        <v>5786</v>
      </c>
      <c r="E779">
        <v>5844</v>
      </c>
      <c r="F779">
        <v>5688.2</v>
      </c>
    </row>
    <row r="780" spans="1:6" x14ac:dyDescent="0.25">
      <c r="A780" s="1">
        <v>39917</v>
      </c>
      <c r="B780">
        <v>5823</v>
      </c>
      <c r="C780">
        <v>5902</v>
      </c>
      <c r="D780">
        <v>5786</v>
      </c>
      <c r="E780">
        <v>5858</v>
      </c>
      <c r="F780">
        <v>5742</v>
      </c>
    </row>
    <row r="781" spans="1:6" x14ac:dyDescent="0.25">
      <c r="A781" s="1">
        <v>39918</v>
      </c>
      <c r="B781">
        <v>5840</v>
      </c>
      <c r="C781">
        <v>5894</v>
      </c>
      <c r="D781">
        <v>5785</v>
      </c>
      <c r="E781">
        <v>5859</v>
      </c>
      <c r="F781">
        <v>5821.6</v>
      </c>
    </row>
    <row r="782" spans="1:6" x14ac:dyDescent="0.25">
      <c r="A782" s="1">
        <v>39919</v>
      </c>
      <c r="B782">
        <v>6001</v>
      </c>
      <c r="C782">
        <v>6046</v>
      </c>
      <c r="D782">
        <v>5950</v>
      </c>
      <c r="E782">
        <v>5997</v>
      </c>
      <c r="F782">
        <v>5877.4</v>
      </c>
    </row>
    <row r="783" spans="1:6" x14ac:dyDescent="0.25">
      <c r="A783" s="1">
        <v>39920</v>
      </c>
      <c r="B783">
        <v>6048</v>
      </c>
      <c r="C783">
        <v>6060</v>
      </c>
      <c r="D783">
        <v>5682</v>
      </c>
      <c r="E783">
        <v>5777</v>
      </c>
      <c r="F783">
        <v>5867</v>
      </c>
    </row>
    <row r="784" spans="1:6" x14ac:dyDescent="0.25">
      <c r="A784" s="1">
        <v>39923</v>
      </c>
      <c r="B784">
        <v>5776</v>
      </c>
      <c r="C784">
        <v>5814</v>
      </c>
      <c r="D784">
        <v>5666</v>
      </c>
      <c r="E784">
        <v>5762</v>
      </c>
      <c r="F784">
        <v>5850.6</v>
      </c>
    </row>
    <row r="785" spans="1:6" x14ac:dyDescent="0.25">
      <c r="A785" s="1">
        <v>39924</v>
      </c>
      <c r="B785">
        <v>5680</v>
      </c>
      <c r="C785">
        <v>5899</v>
      </c>
      <c r="D785">
        <v>5654</v>
      </c>
      <c r="E785">
        <v>5893</v>
      </c>
      <c r="F785">
        <v>5857.6</v>
      </c>
    </row>
    <row r="786" spans="1:6" x14ac:dyDescent="0.25">
      <c r="A786" s="1">
        <v>39925</v>
      </c>
      <c r="B786">
        <v>5870</v>
      </c>
      <c r="C786">
        <v>5928</v>
      </c>
      <c r="D786">
        <v>5834</v>
      </c>
      <c r="E786">
        <v>5849</v>
      </c>
      <c r="F786">
        <v>5855.6</v>
      </c>
    </row>
    <row r="787" spans="1:6" x14ac:dyDescent="0.25">
      <c r="A787" s="1">
        <v>39926</v>
      </c>
      <c r="B787">
        <v>5857</v>
      </c>
      <c r="C787">
        <v>5907</v>
      </c>
      <c r="D787">
        <v>5755</v>
      </c>
      <c r="E787">
        <v>5904</v>
      </c>
      <c r="F787">
        <v>5837</v>
      </c>
    </row>
    <row r="788" spans="1:6" x14ac:dyDescent="0.25">
      <c r="A788" s="1">
        <v>39927</v>
      </c>
      <c r="B788">
        <v>5918</v>
      </c>
      <c r="C788">
        <v>5996</v>
      </c>
      <c r="D788">
        <v>5792</v>
      </c>
      <c r="E788">
        <v>5903</v>
      </c>
      <c r="F788">
        <v>5862.2</v>
      </c>
    </row>
    <row r="789" spans="1:6" x14ac:dyDescent="0.25">
      <c r="A789" s="1">
        <v>39930</v>
      </c>
      <c r="B789">
        <v>5911</v>
      </c>
      <c r="C789">
        <v>5950</v>
      </c>
      <c r="D789">
        <v>5678</v>
      </c>
      <c r="E789">
        <v>5705</v>
      </c>
      <c r="F789">
        <v>5850.8</v>
      </c>
    </row>
    <row r="790" spans="1:6" x14ac:dyDescent="0.25">
      <c r="A790" s="1">
        <v>39931</v>
      </c>
      <c r="B790">
        <v>5747</v>
      </c>
      <c r="C790">
        <v>5783</v>
      </c>
      <c r="D790">
        <v>5576</v>
      </c>
      <c r="E790">
        <v>5582</v>
      </c>
      <c r="F790">
        <v>5788.6</v>
      </c>
    </row>
    <row r="791" spans="1:6" x14ac:dyDescent="0.25">
      <c r="A791" s="1">
        <v>39932</v>
      </c>
      <c r="B791">
        <v>5630</v>
      </c>
      <c r="C791">
        <v>5663</v>
      </c>
      <c r="D791">
        <v>5584</v>
      </c>
      <c r="E791">
        <v>5618</v>
      </c>
      <c r="F791">
        <v>5742.4</v>
      </c>
    </row>
    <row r="792" spans="1:6" x14ac:dyDescent="0.25">
      <c r="A792" s="1">
        <v>39933</v>
      </c>
      <c r="B792">
        <v>6015</v>
      </c>
      <c r="C792">
        <v>6015</v>
      </c>
      <c r="D792">
        <v>5953</v>
      </c>
      <c r="E792">
        <v>6015</v>
      </c>
      <c r="F792">
        <v>5764.6</v>
      </c>
    </row>
    <row r="793" spans="1:6" x14ac:dyDescent="0.25">
      <c r="A793" s="1">
        <v>39937</v>
      </c>
      <c r="B793">
        <v>6300</v>
      </c>
      <c r="C793">
        <v>6436</v>
      </c>
      <c r="D793">
        <v>6300</v>
      </c>
      <c r="E793">
        <v>6436</v>
      </c>
      <c r="F793">
        <v>5871.2</v>
      </c>
    </row>
    <row r="794" spans="1:6" x14ac:dyDescent="0.25">
      <c r="A794" s="1">
        <v>39938</v>
      </c>
      <c r="B794">
        <v>6765</v>
      </c>
      <c r="C794">
        <v>6770</v>
      </c>
      <c r="D794">
        <v>6428</v>
      </c>
      <c r="E794">
        <v>6543</v>
      </c>
      <c r="F794">
        <v>6038.8</v>
      </c>
    </row>
    <row r="795" spans="1:6" x14ac:dyDescent="0.25">
      <c r="A795" s="1">
        <v>39939</v>
      </c>
      <c r="B795">
        <v>6522</v>
      </c>
      <c r="C795">
        <v>6585</v>
      </c>
      <c r="D795">
        <v>6416</v>
      </c>
      <c r="E795">
        <v>6534</v>
      </c>
      <c r="F795">
        <v>6229.2</v>
      </c>
    </row>
    <row r="796" spans="1:6" x14ac:dyDescent="0.25">
      <c r="A796" s="1">
        <v>39940</v>
      </c>
      <c r="B796">
        <v>6604</v>
      </c>
      <c r="C796">
        <v>6631</v>
      </c>
      <c r="D796">
        <v>6446</v>
      </c>
      <c r="E796">
        <v>6610</v>
      </c>
      <c r="F796">
        <v>6427.6</v>
      </c>
    </row>
    <row r="797" spans="1:6" x14ac:dyDescent="0.25">
      <c r="A797" s="1">
        <v>39941</v>
      </c>
      <c r="B797">
        <v>6580</v>
      </c>
      <c r="C797">
        <v>6598</v>
      </c>
      <c r="D797">
        <v>6506</v>
      </c>
      <c r="E797">
        <v>6570</v>
      </c>
      <c r="F797">
        <v>6538.6</v>
      </c>
    </row>
    <row r="798" spans="1:6" x14ac:dyDescent="0.25">
      <c r="A798" s="1">
        <v>39944</v>
      </c>
      <c r="B798">
        <v>6547</v>
      </c>
      <c r="C798">
        <v>6696</v>
      </c>
      <c r="D798">
        <v>6522</v>
      </c>
      <c r="E798">
        <v>6600</v>
      </c>
      <c r="F798">
        <v>6571.4</v>
      </c>
    </row>
    <row r="799" spans="1:6" x14ac:dyDescent="0.25">
      <c r="A799" s="1">
        <v>39945</v>
      </c>
      <c r="B799">
        <v>6567</v>
      </c>
      <c r="C799">
        <v>6586</v>
      </c>
      <c r="D799">
        <v>6384</v>
      </c>
      <c r="E799">
        <v>6448</v>
      </c>
      <c r="F799">
        <v>6552.4</v>
      </c>
    </row>
    <row r="800" spans="1:6" x14ac:dyDescent="0.25">
      <c r="A800" s="1">
        <v>39946</v>
      </c>
      <c r="B800">
        <v>6468</v>
      </c>
      <c r="C800">
        <v>6499</v>
      </c>
      <c r="D800">
        <v>6421</v>
      </c>
      <c r="E800">
        <v>6471</v>
      </c>
      <c r="F800">
        <v>6539.8</v>
      </c>
    </row>
    <row r="801" spans="1:6" x14ac:dyDescent="0.25">
      <c r="A801" s="1">
        <v>39947</v>
      </c>
      <c r="B801">
        <v>6360</v>
      </c>
      <c r="C801">
        <v>6418</v>
      </c>
      <c r="D801">
        <v>6315</v>
      </c>
      <c r="E801">
        <v>6320</v>
      </c>
      <c r="F801">
        <v>6481.8</v>
      </c>
    </row>
    <row r="802" spans="1:6" x14ac:dyDescent="0.25">
      <c r="A802" s="1">
        <v>39948</v>
      </c>
      <c r="B802">
        <v>6362</v>
      </c>
      <c r="C802">
        <v>6508</v>
      </c>
      <c r="D802">
        <v>6357</v>
      </c>
      <c r="E802">
        <v>6476</v>
      </c>
      <c r="F802">
        <v>6463</v>
      </c>
    </row>
    <row r="803" spans="1:6" x14ac:dyDescent="0.25">
      <c r="A803" s="1">
        <v>39951</v>
      </c>
      <c r="B803">
        <v>6435</v>
      </c>
      <c r="C803">
        <v>6573</v>
      </c>
      <c r="D803">
        <v>6403</v>
      </c>
      <c r="E803">
        <v>6570</v>
      </c>
      <c r="F803">
        <v>6457</v>
      </c>
    </row>
    <row r="804" spans="1:6" x14ac:dyDescent="0.25">
      <c r="A804" s="1">
        <v>39952</v>
      </c>
      <c r="B804">
        <v>6710</v>
      </c>
      <c r="C804">
        <v>6805</v>
      </c>
      <c r="D804">
        <v>6623</v>
      </c>
      <c r="E804">
        <v>6692</v>
      </c>
      <c r="F804">
        <v>6505.8</v>
      </c>
    </row>
    <row r="805" spans="1:6" x14ac:dyDescent="0.25">
      <c r="A805" s="1">
        <v>39953</v>
      </c>
      <c r="B805">
        <v>6700</v>
      </c>
      <c r="C805">
        <v>6744</v>
      </c>
      <c r="D805">
        <v>6585</v>
      </c>
      <c r="E805">
        <v>6699</v>
      </c>
      <c r="F805">
        <v>6551.4</v>
      </c>
    </row>
    <row r="806" spans="1:6" x14ac:dyDescent="0.25">
      <c r="A806" s="1">
        <v>39954</v>
      </c>
      <c r="B806">
        <v>6629</v>
      </c>
      <c r="C806">
        <v>6695</v>
      </c>
      <c r="D806">
        <v>6605</v>
      </c>
      <c r="E806">
        <v>6669</v>
      </c>
      <c r="F806">
        <v>6621.2</v>
      </c>
    </row>
    <row r="807" spans="1:6" x14ac:dyDescent="0.25">
      <c r="A807" s="1">
        <v>39955</v>
      </c>
      <c r="B807">
        <v>6606</v>
      </c>
      <c r="C807">
        <v>6730</v>
      </c>
      <c r="D807">
        <v>6595</v>
      </c>
      <c r="E807">
        <v>6692</v>
      </c>
      <c r="F807">
        <v>6664.4</v>
      </c>
    </row>
    <row r="808" spans="1:6" x14ac:dyDescent="0.25">
      <c r="A808" s="1">
        <v>39958</v>
      </c>
      <c r="B808">
        <v>6738</v>
      </c>
      <c r="C808">
        <v>6838</v>
      </c>
      <c r="D808">
        <v>6648</v>
      </c>
      <c r="E808">
        <v>6724</v>
      </c>
      <c r="F808">
        <v>6695.2</v>
      </c>
    </row>
    <row r="809" spans="1:6" x14ac:dyDescent="0.25">
      <c r="A809" s="1">
        <v>39959</v>
      </c>
      <c r="B809">
        <v>6700</v>
      </c>
      <c r="C809">
        <v>6760</v>
      </c>
      <c r="D809">
        <v>6633</v>
      </c>
      <c r="E809">
        <v>6645</v>
      </c>
      <c r="F809">
        <v>6685.8</v>
      </c>
    </row>
    <row r="810" spans="1:6" x14ac:dyDescent="0.25">
      <c r="A810" s="1">
        <v>39960</v>
      </c>
      <c r="B810">
        <v>6720</v>
      </c>
      <c r="C810">
        <v>6998</v>
      </c>
      <c r="D810">
        <v>6700</v>
      </c>
      <c r="E810">
        <v>6934</v>
      </c>
      <c r="F810">
        <v>6732.8</v>
      </c>
    </row>
    <row r="811" spans="1:6" x14ac:dyDescent="0.25">
      <c r="A811" s="1">
        <v>39965</v>
      </c>
      <c r="B811">
        <v>6984</v>
      </c>
      <c r="C811">
        <v>7012</v>
      </c>
      <c r="D811">
        <v>6900</v>
      </c>
      <c r="E811">
        <v>6959</v>
      </c>
      <c r="F811">
        <v>6790.8</v>
      </c>
    </row>
    <row r="812" spans="1:6" x14ac:dyDescent="0.25">
      <c r="A812" s="1">
        <v>39966</v>
      </c>
      <c r="B812">
        <v>7030</v>
      </c>
      <c r="C812">
        <v>7050</v>
      </c>
      <c r="D812">
        <v>6863</v>
      </c>
      <c r="E812">
        <v>6919</v>
      </c>
      <c r="F812">
        <v>6836.2</v>
      </c>
    </row>
    <row r="813" spans="1:6" x14ac:dyDescent="0.25">
      <c r="A813" s="1">
        <v>39967</v>
      </c>
      <c r="B813">
        <v>6936</v>
      </c>
      <c r="C813">
        <v>6937</v>
      </c>
      <c r="D813">
        <v>6844</v>
      </c>
      <c r="E813">
        <v>6898</v>
      </c>
      <c r="F813">
        <v>6871</v>
      </c>
    </row>
    <row r="814" spans="1:6" x14ac:dyDescent="0.25">
      <c r="A814" s="1">
        <v>39968</v>
      </c>
      <c r="B814">
        <v>6867</v>
      </c>
      <c r="C814">
        <v>6897</v>
      </c>
      <c r="D814">
        <v>6695</v>
      </c>
      <c r="E814">
        <v>6782</v>
      </c>
      <c r="F814">
        <v>6898.4</v>
      </c>
    </row>
    <row r="815" spans="1:6" x14ac:dyDescent="0.25">
      <c r="A815" s="1">
        <v>39969</v>
      </c>
      <c r="B815">
        <v>6815</v>
      </c>
      <c r="C815">
        <v>6826</v>
      </c>
      <c r="D815">
        <v>6734</v>
      </c>
      <c r="E815">
        <v>6793</v>
      </c>
      <c r="F815">
        <v>6870.2</v>
      </c>
    </row>
    <row r="816" spans="1:6" x14ac:dyDescent="0.25">
      <c r="A816" s="1">
        <v>39970</v>
      </c>
      <c r="B816">
        <v>6792</v>
      </c>
      <c r="C816">
        <v>6853</v>
      </c>
      <c r="D816">
        <v>6775</v>
      </c>
      <c r="E816">
        <v>6834</v>
      </c>
      <c r="F816">
        <v>6845.2</v>
      </c>
    </row>
    <row r="817" spans="1:6" x14ac:dyDescent="0.25">
      <c r="A817" s="1">
        <v>39972</v>
      </c>
      <c r="B817">
        <v>6853</v>
      </c>
      <c r="C817">
        <v>6883</v>
      </c>
      <c r="D817">
        <v>6613</v>
      </c>
      <c r="E817">
        <v>6644</v>
      </c>
      <c r="F817">
        <v>6790.2</v>
      </c>
    </row>
    <row r="818" spans="1:6" x14ac:dyDescent="0.25">
      <c r="A818" s="1">
        <v>39973</v>
      </c>
      <c r="B818">
        <v>6647</v>
      </c>
      <c r="C818">
        <v>6667</v>
      </c>
      <c r="D818">
        <v>6390</v>
      </c>
      <c r="E818">
        <v>6412</v>
      </c>
      <c r="F818">
        <v>6693</v>
      </c>
    </row>
    <row r="819" spans="1:6" x14ac:dyDescent="0.25">
      <c r="A819" s="1">
        <v>39974</v>
      </c>
      <c r="B819">
        <v>6450</v>
      </c>
      <c r="C819">
        <v>6503</v>
      </c>
      <c r="D819">
        <v>6385</v>
      </c>
      <c r="E819">
        <v>6462</v>
      </c>
      <c r="F819">
        <v>6629</v>
      </c>
    </row>
    <row r="820" spans="1:6" x14ac:dyDescent="0.25">
      <c r="A820" s="1">
        <v>39975</v>
      </c>
      <c r="B820">
        <v>6477</v>
      </c>
      <c r="C820">
        <v>6544</v>
      </c>
      <c r="D820">
        <v>6335</v>
      </c>
      <c r="E820">
        <v>6518</v>
      </c>
      <c r="F820">
        <v>6574</v>
      </c>
    </row>
    <row r="821" spans="1:6" x14ac:dyDescent="0.25">
      <c r="A821" s="1">
        <v>39976</v>
      </c>
      <c r="B821">
        <v>6538</v>
      </c>
      <c r="C821">
        <v>6559</v>
      </c>
      <c r="D821">
        <v>6411</v>
      </c>
      <c r="E821">
        <v>6443</v>
      </c>
      <c r="F821">
        <v>6495.8</v>
      </c>
    </row>
    <row r="822" spans="1:6" x14ac:dyDescent="0.25">
      <c r="A822" s="1">
        <v>39979</v>
      </c>
      <c r="B822">
        <v>6400</v>
      </c>
      <c r="C822">
        <v>6400</v>
      </c>
      <c r="D822">
        <v>6175</v>
      </c>
      <c r="E822">
        <v>6206</v>
      </c>
      <c r="F822">
        <v>6408.2</v>
      </c>
    </row>
    <row r="823" spans="1:6" x14ac:dyDescent="0.25">
      <c r="A823" s="1">
        <v>39980</v>
      </c>
      <c r="B823">
        <v>6151</v>
      </c>
      <c r="C823">
        <v>6252</v>
      </c>
      <c r="D823">
        <v>6133</v>
      </c>
      <c r="E823">
        <v>6208</v>
      </c>
      <c r="F823">
        <v>6367.4</v>
      </c>
    </row>
    <row r="824" spans="1:6" x14ac:dyDescent="0.25">
      <c r="A824" s="1">
        <v>39981</v>
      </c>
      <c r="B824">
        <v>6208</v>
      </c>
      <c r="C824">
        <v>6295</v>
      </c>
      <c r="D824">
        <v>6195</v>
      </c>
      <c r="E824">
        <v>6204</v>
      </c>
      <c r="F824">
        <v>6315.8</v>
      </c>
    </row>
    <row r="825" spans="1:6" x14ac:dyDescent="0.25">
      <c r="A825" s="1">
        <v>39982</v>
      </c>
      <c r="B825">
        <v>6129</v>
      </c>
      <c r="C825">
        <v>6204</v>
      </c>
      <c r="D825">
        <v>5995</v>
      </c>
      <c r="E825">
        <v>6087</v>
      </c>
      <c r="F825">
        <v>6229.6</v>
      </c>
    </row>
    <row r="826" spans="1:6" x14ac:dyDescent="0.25">
      <c r="A826" s="1">
        <v>39983</v>
      </c>
      <c r="B826">
        <v>6100</v>
      </c>
      <c r="C826">
        <v>6150</v>
      </c>
      <c r="D826">
        <v>6044</v>
      </c>
      <c r="E826">
        <v>6140</v>
      </c>
      <c r="F826">
        <v>6169</v>
      </c>
    </row>
    <row r="827" spans="1:6" x14ac:dyDescent="0.25">
      <c r="A827" s="1">
        <v>39986</v>
      </c>
      <c r="B827">
        <v>6150</v>
      </c>
      <c r="C827">
        <v>6265</v>
      </c>
      <c r="D827">
        <v>6075</v>
      </c>
      <c r="E827">
        <v>6208</v>
      </c>
      <c r="F827">
        <v>6169.4</v>
      </c>
    </row>
    <row r="828" spans="1:6" x14ac:dyDescent="0.25">
      <c r="A828" s="1">
        <v>39987</v>
      </c>
      <c r="B828">
        <v>6102</v>
      </c>
      <c r="C828">
        <v>6150</v>
      </c>
      <c r="D828">
        <v>6060</v>
      </c>
      <c r="E828">
        <v>6068</v>
      </c>
      <c r="F828">
        <v>6141.4</v>
      </c>
    </row>
    <row r="829" spans="1:6" x14ac:dyDescent="0.25">
      <c r="A829" s="1">
        <v>39988</v>
      </c>
      <c r="B829">
        <v>6087</v>
      </c>
      <c r="C829">
        <v>6494</v>
      </c>
      <c r="D829">
        <v>6073</v>
      </c>
      <c r="E829">
        <v>6310</v>
      </c>
      <c r="F829">
        <v>6162.6</v>
      </c>
    </row>
    <row r="830" spans="1:6" x14ac:dyDescent="0.25">
      <c r="A830" s="1">
        <v>39989</v>
      </c>
      <c r="B830">
        <v>6336</v>
      </c>
      <c r="C830">
        <v>6429</v>
      </c>
      <c r="D830">
        <v>6295</v>
      </c>
      <c r="E830">
        <v>6391</v>
      </c>
      <c r="F830">
        <v>6223.4</v>
      </c>
    </row>
    <row r="831" spans="1:6" x14ac:dyDescent="0.25">
      <c r="A831" s="1">
        <v>39990</v>
      </c>
      <c r="B831">
        <v>6400</v>
      </c>
      <c r="C831">
        <v>6433</v>
      </c>
      <c r="D831">
        <v>6361</v>
      </c>
      <c r="E831">
        <v>6387</v>
      </c>
      <c r="F831">
        <v>6272.8</v>
      </c>
    </row>
    <row r="832" spans="1:6" x14ac:dyDescent="0.25">
      <c r="A832" s="1">
        <v>39993</v>
      </c>
      <c r="B832">
        <v>6409</v>
      </c>
      <c r="C832">
        <v>6435</v>
      </c>
      <c r="D832">
        <v>6303</v>
      </c>
      <c r="E832">
        <v>6343</v>
      </c>
      <c r="F832">
        <v>6299.8</v>
      </c>
    </row>
    <row r="833" spans="1:6" x14ac:dyDescent="0.25">
      <c r="A833" s="1">
        <v>39994</v>
      </c>
      <c r="B833">
        <v>6403</v>
      </c>
      <c r="C833">
        <v>6450</v>
      </c>
      <c r="D833">
        <v>6303</v>
      </c>
      <c r="E833">
        <v>6383</v>
      </c>
      <c r="F833">
        <v>6362.8</v>
      </c>
    </row>
    <row r="834" spans="1:6" x14ac:dyDescent="0.25">
      <c r="A834" s="1">
        <v>39995</v>
      </c>
      <c r="B834">
        <v>6384</v>
      </c>
      <c r="C834">
        <v>6546</v>
      </c>
      <c r="D834">
        <v>6361</v>
      </c>
      <c r="E834">
        <v>6515</v>
      </c>
      <c r="F834">
        <v>6403.8</v>
      </c>
    </row>
    <row r="835" spans="1:6" x14ac:dyDescent="0.25">
      <c r="A835" s="1">
        <v>39996</v>
      </c>
      <c r="B835">
        <v>6520</v>
      </c>
      <c r="C835">
        <v>6626</v>
      </c>
      <c r="D835">
        <v>6517</v>
      </c>
      <c r="E835">
        <v>6587</v>
      </c>
      <c r="F835">
        <v>6443</v>
      </c>
    </row>
    <row r="836" spans="1:6" x14ac:dyDescent="0.25">
      <c r="A836" s="1">
        <v>39997</v>
      </c>
      <c r="B836">
        <v>6533</v>
      </c>
      <c r="C836">
        <v>6632</v>
      </c>
      <c r="D836">
        <v>6520</v>
      </c>
      <c r="E836">
        <v>6603</v>
      </c>
      <c r="F836">
        <v>6486.2</v>
      </c>
    </row>
    <row r="837" spans="1:6" x14ac:dyDescent="0.25">
      <c r="A837" s="1">
        <v>40000</v>
      </c>
      <c r="B837">
        <v>6603</v>
      </c>
      <c r="C837">
        <v>6632</v>
      </c>
      <c r="D837">
        <v>6528</v>
      </c>
      <c r="E837">
        <v>6588</v>
      </c>
      <c r="F837">
        <v>6535.2</v>
      </c>
    </row>
    <row r="838" spans="1:6" x14ac:dyDescent="0.25">
      <c r="A838" s="1">
        <v>40001</v>
      </c>
      <c r="B838">
        <v>6588</v>
      </c>
      <c r="C838">
        <v>6710</v>
      </c>
      <c r="D838">
        <v>6577</v>
      </c>
      <c r="E838">
        <v>6665</v>
      </c>
      <c r="F838">
        <v>6591.6</v>
      </c>
    </row>
    <row r="839" spans="1:6" x14ac:dyDescent="0.25">
      <c r="A839" s="1">
        <v>40002</v>
      </c>
      <c r="B839">
        <v>6626</v>
      </c>
      <c r="C839">
        <v>6637</v>
      </c>
      <c r="D839">
        <v>6557</v>
      </c>
      <c r="E839">
        <v>6627</v>
      </c>
      <c r="F839">
        <v>6614</v>
      </c>
    </row>
    <row r="840" spans="1:6" x14ac:dyDescent="0.25">
      <c r="A840" s="1">
        <v>40003</v>
      </c>
      <c r="B840">
        <v>6637</v>
      </c>
      <c r="C840">
        <v>6779</v>
      </c>
      <c r="D840">
        <v>6625</v>
      </c>
      <c r="E840">
        <v>6724</v>
      </c>
      <c r="F840">
        <v>6641.4</v>
      </c>
    </row>
    <row r="841" spans="1:6" x14ac:dyDescent="0.25">
      <c r="A841" s="1">
        <v>40004</v>
      </c>
      <c r="B841">
        <v>6734</v>
      </c>
      <c r="C841">
        <v>6758</v>
      </c>
      <c r="D841">
        <v>6677</v>
      </c>
      <c r="E841">
        <v>6758</v>
      </c>
      <c r="F841">
        <v>6672.4</v>
      </c>
    </row>
    <row r="842" spans="1:6" x14ac:dyDescent="0.25">
      <c r="A842" s="1">
        <v>40007</v>
      </c>
      <c r="B842">
        <v>6753</v>
      </c>
      <c r="C842">
        <v>6766</v>
      </c>
      <c r="D842">
        <v>6442</v>
      </c>
      <c r="E842">
        <v>6473</v>
      </c>
      <c r="F842">
        <v>6649.4</v>
      </c>
    </row>
    <row r="843" spans="1:6" x14ac:dyDescent="0.25">
      <c r="A843" s="1">
        <v>40008</v>
      </c>
      <c r="B843">
        <v>6532</v>
      </c>
      <c r="C843">
        <v>6608</v>
      </c>
      <c r="D843">
        <v>6506</v>
      </c>
      <c r="E843">
        <v>6577</v>
      </c>
      <c r="F843">
        <v>6631.8</v>
      </c>
    </row>
    <row r="844" spans="1:6" x14ac:dyDescent="0.25">
      <c r="A844" s="1">
        <v>40009</v>
      </c>
      <c r="B844">
        <v>6627</v>
      </c>
      <c r="C844">
        <v>6783</v>
      </c>
      <c r="D844">
        <v>6627</v>
      </c>
      <c r="E844">
        <v>6763</v>
      </c>
      <c r="F844">
        <v>6659</v>
      </c>
    </row>
    <row r="845" spans="1:6" x14ac:dyDescent="0.25">
      <c r="A845" s="1">
        <v>40010</v>
      </c>
      <c r="B845">
        <v>6750</v>
      </c>
      <c r="C845">
        <v>6785</v>
      </c>
      <c r="D845">
        <v>6661</v>
      </c>
      <c r="E845">
        <v>6704</v>
      </c>
      <c r="F845">
        <v>6655</v>
      </c>
    </row>
    <row r="846" spans="1:6" x14ac:dyDescent="0.25">
      <c r="A846" s="1">
        <v>40011</v>
      </c>
      <c r="B846">
        <v>6750</v>
      </c>
      <c r="C846">
        <v>6803</v>
      </c>
      <c r="D846">
        <v>6701</v>
      </c>
      <c r="E846">
        <v>6761</v>
      </c>
      <c r="F846">
        <v>6655.6</v>
      </c>
    </row>
    <row r="847" spans="1:6" x14ac:dyDescent="0.25">
      <c r="A847" s="1">
        <v>40014</v>
      </c>
      <c r="B847">
        <v>6818</v>
      </c>
      <c r="C847">
        <v>6885</v>
      </c>
      <c r="D847">
        <v>6757</v>
      </c>
      <c r="E847">
        <v>6864</v>
      </c>
      <c r="F847">
        <v>6733.8</v>
      </c>
    </row>
    <row r="848" spans="1:6" x14ac:dyDescent="0.25">
      <c r="A848" s="1">
        <v>40015</v>
      </c>
      <c r="B848">
        <v>6914</v>
      </c>
      <c r="C848">
        <v>6914</v>
      </c>
      <c r="D848">
        <v>6795</v>
      </c>
      <c r="E848">
        <v>6875</v>
      </c>
      <c r="F848">
        <v>6793.4</v>
      </c>
    </row>
    <row r="849" spans="1:6" x14ac:dyDescent="0.25">
      <c r="A849" s="1">
        <v>40016</v>
      </c>
      <c r="B849">
        <v>6868</v>
      </c>
      <c r="C849">
        <v>6959</v>
      </c>
      <c r="D849">
        <v>6848</v>
      </c>
      <c r="E849">
        <v>6887</v>
      </c>
      <c r="F849">
        <v>6818.2</v>
      </c>
    </row>
    <row r="850" spans="1:6" x14ac:dyDescent="0.25">
      <c r="A850" s="1">
        <v>40017</v>
      </c>
      <c r="B850">
        <v>6883</v>
      </c>
      <c r="C850">
        <v>6955</v>
      </c>
      <c r="D850">
        <v>6819</v>
      </c>
      <c r="E850">
        <v>6880</v>
      </c>
      <c r="F850">
        <v>6853.4</v>
      </c>
    </row>
    <row r="851" spans="1:6" x14ac:dyDescent="0.25">
      <c r="A851" s="1">
        <v>40018</v>
      </c>
      <c r="B851">
        <v>6954</v>
      </c>
      <c r="C851">
        <v>6965</v>
      </c>
      <c r="D851">
        <v>6875</v>
      </c>
      <c r="E851">
        <v>6896</v>
      </c>
      <c r="F851">
        <v>6880.4</v>
      </c>
    </row>
    <row r="852" spans="1:6" x14ac:dyDescent="0.25">
      <c r="A852" s="1">
        <v>40021</v>
      </c>
      <c r="B852">
        <v>6950</v>
      </c>
      <c r="C852">
        <v>7006</v>
      </c>
      <c r="D852">
        <v>6897</v>
      </c>
      <c r="E852">
        <v>6970</v>
      </c>
      <c r="F852">
        <v>6901.6</v>
      </c>
    </row>
    <row r="853" spans="1:6" x14ac:dyDescent="0.25">
      <c r="A853" s="1">
        <v>40022</v>
      </c>
      <c r="B853">
        <v>6962</v>
      </c>
      <c r="C853">
        <v>7087</v>
      </c>
      <c r="D853">
        <v>6952</v>
      </c>
      <c r="E853">
        <v>7082</v>
      </c>
      <c r="F853">
        <v>6943</v>
      </c>
    </row>
    <row r="854" spans="1:6" x14ac:dyDescent="0.25">
      <c r="A854" s="1">
        <v>40023</v>
      </c>
      <c r="B854">
        <v>7100</v>
      </c>
      <c r="C854">
        <v>7132</v>
      </c>
      <c r="D854">
        <v>7020</v>
      </c>
      <c r="E854">
        <v>7039</v>
      </c>
      <c r="F854">
        <v>6973.4</v>
      </c>
    </row>
    <row r="855" spans="1:6" x14ac:dyDescent="0.25">
      <c r="A855" s="1">
        <v>40024</v>
      </c>
      <c r="B855">
        <v>7030</v>
      </c>
      <c r="C855">
        <v>7043</v>
      </c>
      <c r="D855">
        <v>6868</v>
      </c>
      <c r="E855">
        <v>6965</v>
      </c>
      <c r="F855">
        <v>6990.4</v>
      </c>
    </row>
    <row r="856" spans="1:6" x14ac:dyDescent="0.25">
      <c r="A856" s="1">
        <v>40025</v>
      </c>
      <c r="B856">
        <v>7005</v>
      </c>
      <c r="C856">
        <v>7083</v>
      </c>
      <c r="D856">
        <v>6955</v>
      </c>
      <c r="E856">
        <v>7030</v>
      </c>
      <c r="F856">
        <v>7017.2</v>
      </c>
    </row>
    <row r="857" spans="1:6" x14ac:dyDescent="0.25">
      <c r="A857" s="1">
        <v>40028</v>
      </c>
      <c r="B857">
        <v>7032</v>
      </c>
      <c r="C857">
        <v>7032</v>
      </c>
      <c r="D857">
        <v>6906</v>
      </c>
      <c r="E857">
        <v>6983</v>
      </c>
      <c r="F857">
        <v>7019.8</v>
      </c>
    </row>
    <row r="858" spans="1:6" x14ac:dyDescent="0.25">
      <c r="A858" s="1">
        <v>40029</v>
      </c>
      <c r="B858">
        <v>7048</v>
      </c>
      <c r="C858">
        <v>7068</v>
      </c>
      <c r="D858">
        <v>6821</v>
      </c>
      <c r="E858">
        <v>6876</v>
      </c>
      <c r="F858">
        <v>6978.6</v>
      </c>
    </row>
    <row r="859" spans="1:6" x14ac:dyDescent="0.25">
      <c r="A859" s="1">
        <v>40030</v>
      </c>
      <c r="B859">
        <v>6880</v>
      </c>
      <c r="C859">
        <v>6948</v>
      </c>
      <c r="D859">
        <v>6750</v>
      </c>
      <c r="E859">
        <v>6764</v>
      </c>
      <c r="F859">
        <v>6923.6</v>
      </c>
    </row>
    <row r="860" spans="1:6" x14ac:dyDescent="0.25">
      <c r="A860" s="1">
        <v>40031</v>
      </c>
      <c r="B860">
        <v>6783</v>
      </c>
      <c r="C860">
        <v>6833</v>
      </c>
      <c r="D860">
        <v>6702</v>
      </c>
      <c r="E860">
        <v>6799</v>
      </c>
      <c r="F860">
        <v>6890.4</v>
      </c>
    </row>
    <row r="861" spans="1:6" x14ac:dyDescent="0.25">
      <c r="A861" s="1">
        <v>40035</v>
      </c>
      <c r="B861">
        <v>6807</v>
      </c>
      <c r="C861">
        <v>6853</v>
      </c>
      <c r="D861">
        <v>6735</v>
      </c>
      <c r="E861">
        <v>6813</v>
      </c>
      <c r="F861">
        <v>6847</v>
      </c>
    </row>
    <row r="862" spans="1:6" x14ac:dyDescent="0.25">
      <c r="A862" s="1">
        <v>40036</v>
      </c>
      <c r="B862">
        <v>6815</v>
      </c>
      <c r="C862">
        <v>6893</v>
      </c>
      <c r="D862">
        <v>6756</v>
      </c>
      <c r="E862">
        <v>6890</v>
      </c>
      <c r="F862">
        <v>6828.4</v>
      </c>
    </row>
    <row r="863" spans="1:6" x14ac:dyDescent="0.25">
      <c r="A863" s="1">
        <v>40037</v>
      </c>
      <c r="B863">
        <v>6845</v>
      </c>
      <c r="C863">
        <v>6898</v>
      </c>
      <c r="D863">
        <v>6815</v>
      </c>
      <c r="E863">
        <v>6840</v>
      </c>
      <c r="F863">
        <v>6821.2</v>
      </c>
    </row>
    <row r="864" spans="1:6" x14ac:dyDescent="0.25">
      <c r="A864" s="1">
        <v>40038</v>
      </c>
      <c r="B864">
        <v>6880</v>
      </c>
      <c r="C864">
        <v>7031</v>
      </c>
      <c r="D864">
        <v>6862</v>
      </c>
      <c r="E864">
        <v>7020</v>
      </c>
      <c r="F864">
        <v>6872.4</v>
      </c>
    </row>
    <row r="865" spans="1:6" x14ac:dyDescent="0.25">
      <c r="A865" s="1">
        <v>40039</v>
      </c>
      <c r="B865">
        <v>7046</v>
      </c>
      <c r="C865">
        <v>7112</v>
      </c>
      <c r="D865">
        <v>7020</v>
      </c>
      <c r="E865">
        <v>7062</v>
      </c>
      <c r="F865">
        <v>6925</v>
      </c>
    </row>
    <row r="866" spans="1:6" x14ac:dyDescent="0.25">
      <c r="A866" s="1">
        <v>40042</v>
      </c>
      <c r="B866">
        <v>7014</v>
      </c>
      <c r="C866">
        <v>7034</v>
      </c>
      <c r="D866">
        <v>6900</v>
      </c>
      <c r="E866">
        <v>6913</v>
      </c>
      <c r="F866">
        <v>6945</v>
      </c>
    </row>
    <row r="867" spans="1:6" x14ac:dyDescent="0.25">
      <c r="A867" s="1">
        <v>40043</v>
      </c>
      <c r="B867">
        <v>6890</v>
      </c>
      <c r="C867">
        <v>6909</v>
      </c>
      <c r="D867">
        <v>6724</v>
      </c>
      <c r="E867">
        <v>6813</v>
      </c>
      <c r="F867">
        <v>6929.6</v>
      </c>
    </row>
    <row r="868" spans="1:6" x14ac:dyDescent="0.25">
      <c r="A868" s="1">
        <v>40044</v>
      </c>
      <c r="B868">
        <v>6830</v>
      </c>
      <c r="C868">
        <v>6846</v>
      </c>
      <c r="D868">
        <v>6786</v>
      </c>
      <c r="E868">
        <v>6795</v>
      </c>
      <c r="F868">
        <v>6920.6</v>
      </c>
    </row>
    <row r="869" spans="1:6" x14ac:dyDescent="0.25">
      <c r="A869" s="1">
        <v>40045</v>
      </c>
      <c r="B869">
        <v>6730</v>
      </c>
      <c r="C869">
        <v>6733</v>
      </c>
      <c r="D869">
        <v>6590</v>
      </c>
      <c r="E869">
        <v>6693</v>
      </c>
      <c r="F869">
        <v>6855.2</v>
      </c>
    </row>
    <row r="870" spans="1:6" x14ac:dyDescent="0.25">
      <c r="A870" s="1">
        <v>40046</v>
      </c>
      <c r="B870">
        <v>6701</v>
      </c>
      <c r="C870">
        <v>6770</v>
      </c>
      <c r="D870">
        <v>6553</v>
      </c>
      <c r="E870">
        <v>6591</v>
      </c>
      <c r="F870">
        <v>6761</v>
      </c>
    </row>
    <row r="871" spans="1:6" x14ac:dyDescent="0.25">
      <c r="A871" s="1">
        <v>40049</v>
      </c>
      <c r="B871">
        <v>6724</v>
      </c>
      <c r="C871">
        <v>6835</v>
      </c>
      <c r="D871">
        <v>6710</v>
      </c>
      <c r="E871">
        <v>6808</v>
      </c>
      <c r="F871">
        <v>6740</v>
      </c>
    </row>
    <row r="872" spans="1:6" x14ac:dyDescent="0.25">
      <c r="A872" s="1">
        <v>40050</v>
      </c>
      <c r="B872">
        <v>6797</v>
      </c>
      <c r="C872">
        <v>6827</v>
      </c>
      <c r="D872">
        <v>6741</v>
      </c>
      <c r="E872">
        <v>6760</v>
      </c>
      <c r="F872">
        <v>6729.4</v>
      </c>
    </row>
    <row r="873" spans="1:6" x14ac:dyDescent="0.25">
      <c r="A873" s="1">
        <v>40051</v>
      </c>
      <c r="B873">
        <v>6780</v>
      </c>
      <c r="C873">
        <v>6802</v>
      </c>
      <c r="D873">
        <v>6616</v>
      </c>
      <c r="E873">
        <v>6702</v>
      </c>
      <c r="F873">
        <v>6710.8</v>
      </c>
    </row>
    <row r="874" spans="1:6" x14ac:dyDescent="0.25">
      <c r="A874" s="1">
        <v>40052</v>
      </c>
      <c r="B874">
        <v>6670</v>
      </c>
      <c r="C874">
        <v>6726</v>
      </c>
      <c r="D874">
        <v>6610</v>
      </c>
      <c r="E874">
        <v>6647</v>
      </c>
      <c r="F874">
        <v>6701.6</v>
      </c>
    </row>
    <row r="875" spans="1:6" x14ac:dyDescent="0.25">
      <c r="A875" s="1">
        <v>40053</v>
      </c>
      <c r="B875">
        <v>6666</v>
      </c>
      <c r="C875">
        <v>6810</v>
      </c>
      <c r="D875">
        <v>6656</v>
      </c>
      <c r="E875">
        <v>6755</v>
      </c>
      <c r="F875">
        <v>6734.4</v>
      </c>
    </row>
    <row r="876" spans="1:6" x14ac:dyDescent="0.25">
      <c r="A876" s="1">
        <v>40056</v>
      </c>
      <c r="B876">
        <v>6765</v>
      </c>
      <c r="C876">
        <v>6808</v>
      </c>
      <c r="D876">
        <v>6702</v>
      </c>
      <c r="E876">
        <v>6758</v>
      </c>
      <c r="F876">
        <v>6724.4</v>
      </c>
    </row>
    <row r="877" spans="1:6" x14ac:dyDescent="0.25">
      <c r="A877" s="1">
        <v>40057</v>
      </c>
      <c r="B877">
        <v>6757</v>
      </c>
      <c r="C877">
        <v>7035</v>
      </c>
      <c r="D877">
        <v>6735</v>
      </c>
      <c r="E877">
        <v>7029</v>
      </c>
      <c r="F877">
        <v>6778.2</v>
      </c>
    </row>
    <row r="878" spans="1:6" x14ac:dyDescent="0.25">
      <c r="A878" s="1">
        <v>40058</v>
      </c>
      <c r="B878">
        <v>6965</v>
      </c>
      <c r="C878">
        <v>7049</v>
      </c>
      <c r="D878">
        <v>6939</v>
      </c>
      <c r="E878">
        <v>7028</v>
      </c>
      <c r="F878">
        <v>6843.4</v>
      </c>
    </row>
    <row r="879" spans="1:6" x14ac:dyDescent="0.25">
      <c r="A879" s="1">
        <v>40059</v>
      </c>
      <c r="B879">
        <v>7012</v>
      </c>
      <c r="C879">
        <v>7124</v>
      </c>
      <c r="D879">
        <v>6979</v>
      </c>
      <c r="E879">
        <v>7093</v>
      </c>
      <c r="F879">
        <v>6932.6</v>
      </c>
    </row>
    <row r="880" spans="1:6" x14ac:dyDescent="0.25">
      <c r="A880" s="1">
        <v>40060</v>
      </c>
      <c r="B880">
        <v>7110</v>
      </c>
      <c r="C880">
        <v>7170</v>
      </c>
      <c r="D880">
        <v>7070</v>
      </c>
      <c r="E880">
        <v>7152</v>
      </c>
      <c r="F880">
        <v>7012</v>
      </c>
    </row>
    <row r="881" spans="1:6" x14ac:dyDescent="0.25">
      <c r="A881" s="1">
        <v>40063</v>
      </c>
      <c r="B881">
        <v>7180</v>
      </c>
      <c r="C881">
        <v>7227</v>
      </c>
      <c r="D881">
        <v>7145</v>
      </c>
      <c r="E881">
        <v>7224</v>
      </c>
      <c r="F881">
        <v>7105.2</v>
      </c>
    </row>
    <row r="882" spans="1:6" x14ac:dyDescent="0.25">
      <c r="A882" s="1">
        <v>40064</v>
      </c>
      <c r="B882">
        <v>7260</v>
      </c>
      <c r="C882">
        <v>7366</v>
      </c>
      <c r="D882">
        <v>7182</v>
      </c>
      <c r="E882">
        <v>7318</v>
      </c>
      <c r="F882">
        <v>7163</v>
      </c>
    </row>
    <row r="883" spans="1:6" x14ac:dyDescent="0.25">
      <c r="A883" s="1">
        <v>40065</v>
      </c>
      <c r="B883">
        <v>7300</v>
      </c>
      <c r="C883">
        <v>7344</v>
      </c>
      <c r="D883">
        <v>7249</v>
      </c>
      <c r="E883">
        <v>7260</v>
      </c>
      <c r="F883">
        <v>7209.4</v>
      </c>
    </row>
    <row r="884" spans="1:6" x14ac:dyDescent="0.25">
      <c r="A884" s="1">
        <v>40066</v>
      </c>
      <c r="B884">
        <v>7320</v>
      </c>
      <c r="C884">
        <v>7763</v>
      </c>
      <c r="D884">
        <v>7284</v>
      </c>
      <c r="E884">
        <v>7362</v>
      </c>
      <c r="F884">
        <v>7263.2</v>
      </c>
    </row>
    <row r="885" spans="1:6" x14ac:dyDescent="0.25">
      <c r="A885" s="1">
        <v>40067</v>
      </c>
      <c r="B885">
        <v>7336</v>
      </c>
      <c r="C885">
        <v>7370</v>
      </c>
      <c r="D885">
        <v>7290</v>
      </c>
      <c r="E885">
        <v>7355</v>
      </c>
      <c r="F885">
        <v>7303.8</v>
      </c>
    </row>
    <row r="886" spans="1:6" x14ac:dyDescent="0.25">
      <c r="A886" s="1">
        <v>40070</v>
      </c>
      <c r="B886">
        <v>7315</v>
      </c>
      <c r="C886">
        <v>7344</v>
      </c>
      <c r="D886">
        <v>7205</v>
      </c>
      <c r="E886">
        <v>7255</v>
      </c>
      <c r="F886">
        <v>7310</v>
      </c>
    </row>
    <row r="887" spans="1:6" x14ac:dyDescent="0.25">
      <c r="A887" s="1">
        <v>40071</v>
      </c>
      <c r="B887">
        <v>7298</v>
      </c>
      <c r="C887">
        <v>7384</v>
      </c>
      <c r="D887">
        <v>7252</v>
      </c>
      <c r="E887">
        <v>7357</v>
      </c>
      <c r="F887">
        <v>7317.8</v>
      </c>
    </row>
    <row r="888" spans="1:6" x14ac:dyDescent="0.25">
      <c r="A888" s="1">
        <v>40072</v>
      </c>
      <c r="B888">
        <v>7410</v>
      </c>
      <c r="C888">
        <v>7460</v>
      </c>
      <c r="D888">
        <v>7375</v>
      </c>
      <c r="E888">
        <v>7444</v>
      </c>
      <c r="F888">
        <v>7354.6</v>
      </c>
    </row>
    <row r="889" spans="1:6" x14ac:dyDescent="0.25">
      <c r="A889" s="1">
        <v>40073</v>
      </c>
      <c r="B889">
        <v>7504</v>
      </c>
      <c r="C889">
        <v>7516</v>
      </c>
      <c r="D889">
        <v>7436</v>
      </c>
      <c r="E889">
        <v>7465</v>
      </c>
      <c r="F889">
        <v>7375.2</v>
      </c>
    </row>
    <row r="890" spans="1:6" x14ac:dyDescent="0.25">
      <c r="A890" s="1">
        <v>40074</v>
      </c>
      <c r="B890">
        <v>7440</v>
      </c>
      <c r="C890">
        <v>7502</v>
      </c>
      <c r="D890">
        <v>7407</v>
      </c>
      <c r="E890">
        <v>7470</v>
      </c>
      <c r="F890">
        <v>7398.2</v>
      </c>
    </row>
    <row r="891" spans="1:6" x14ac:dyDescent="0.25">
      <c r="A891" s="1">
        <v>40077</v>
      </c>
      <c r="B891">
        <v>7486</v>
      </c>
      <c r="C891">
        <v>7557</v>
      </c>
      <c r="D891">
        <v>7399</v>
      </c>
      <c r="E891">
        <v>7466</v>
      </c>
      <c r="F891">
        <v>7440.4</v>
      </c>
    </row>
    <row r="892" spans="1:6" x14ac:dyDescent="0.25">
      <c r="A892" s="1">
        <v>40078</v>
      </c>
      <c r="B892">
        <v>7487</v>
      </c>
      <c r="C892">
        <v>7506</v>
      </c>
      <c r="D892">
        <v>7425</v>
      </c>
      <c r="E892">
        <v>7455</v>
      </c>
      <c r="F892">
        <v>7460</v>
      </c>
    </row>
    <row r="893" spans="1:6" x14ac:dyDescent="0.25">
      <c r="A893" s="1">
        <v>40079</v>
      </c>
      <c r="B893">
        <v>7462</v>
      </c>
      <c r="C893">
        <v>7520</v>
      </c>
      <c r="D893">
        <v>7311</v>
      </c>
      <c r="E893">
        <v>7350</v>
      </c>
      <c r="F893">
        <v>7441.2</v>
      </c>
    </row>
    <row r="894" spans="1:6" x14ac:dyDescent="0.25">
      <c r="A894" s="1">
        <v>40080</v>
      </c>
      <c r="B894">
        <v>7351</v>
      </c>
      <c r="C894">
        <v>7375</v>
      </c>
      <c r="D894">
        <v>7235</v>
      </c>
      <c r="E894">
        <v>7299</v>
      </c>
      <c r="F894">
        <v>7408</v>
      </c>
    </row>
    <row r="895" spans="1:6" x14ac:dyDescent="0.25">
      <c r="A895" s="1">
        <v>40081</v>
      </c>
      <c r="B895">
        <v>7250</v>
      </c>
      <c r="C895">
        <v>7340</v>
      </c>
      <c r="D895">
        <v>7236</v>
      </c>
      <c r="E895">
        <v>7338</v>
      </c>
      <c r="F895">
        <v>7381.6</v>
      </c>
    </row>
    <row r="896" spans="1:6" x14ac:dyDescent="0.25">
      <c r="A896" s="1">
        <v>40084</v>
      </c>
      <c r="B896">
        <v>7286</v>
      </c>
      <c r="C896">
        <v>7328</v>
      </c>
      <c r="D896">
        <v>7214</v>
      </c>
      <c r="E896">
        <v>7283</v>
      </c>
      <c r="F896">
        <v>7345</v>
      </c>
    </row>
    <row r="897" spans="1:6" x14ac:dyDescent="0.25">
      <c r="A897" s="1">
        <v>40085</v>
      </c>
      <c r="B897">
        <v>7333</v>
      </c>
      <c r="C897">
        <v>7432</v>
      </c>
      <c r="D897">
        <v>7329</v>
      </c>
      <c r="E897">
        <v>7405</v>
      </c>
      <c r="F897">
        <v>7335</v>
      </c>
    </row>
    <row r="898" spans="1:6" x14ac:dyDescent="0.25">
      <c r="A898" s="1">
        <v>40086</v>
      </c>
      <c r="B898">
        <v>7428</v>
      </c>
      <c r="C898">
        <v>7516</v>
      </c>
      <c r="D898">
        <v>7411</v>
      </c>
      <c r="E898">
        <v>7492</v>
      </c>
      <c r="F898">
        <v>7363.4</v>
      </c>
    </row>
    <row r="899" spans="1:6" x14ac:dyDescent="0.25">
      <c r="A899" s="1">
        <v>40087</v>
      </c>
      <c r="B899">
        <v>7516</v>
      </c>
      <c r="C899">
        <v>7615</v>
      </c>
      <c r="D899">
        <v>7455</v>
      </c>
      <c r="E899">
        <v>7537</v>
      </c>
      <c r="F899">
        <v>7411</v>
      </c>
    </row>
    <row r="900" spans="1:6" x14ac:dyDescent="0.25">
      <c r="A900" s="1">
        <v>40088</v>
      </c>
      <c r="B900">
        <v>7450</v>
      </c>
      <c r="C900">
        <v>7450</v>
      </c>
      <c r="D900">
        <v>7343</v>
      </c>
      <c r="E900">
        <v>7351</v>
      </c>
      <c r="F900">
        <v>7413.6</v>
      </c>
    </row>
    <row r="901" spans="1:6" x14ac:dyDescent="0.25">
      <c r="A901" s="1">
        <v>40091</v>
      </c>
      <c r="B901">
        <v>7358</v>
      </c>
      <c r="C901">
        <v>7398</v>
      </c>
      <c r="D901">
        <v>7325</v>
      </c>
      <c r="E901">
        <v>7395</v>
      </c>
      <c r="F901">
        <v>7436</v>
      </c>
    </row>
    <row r="902" spans="1:6" x14ac:dyDescent="0.25">
      <c r="A902" s="1">
        <v>40092</v>
      </c>
      <c r="B902">
        <v>7431</v>
      </c>
      <c r="C902">
        <v>7537</v>
      </c>
      <c r="D902">
        <v>7395</v>
      </c>
      <c r="E902">
        <v>7510</v>
      </c>
      <c r="F902">
        <v>7457</v>
      </c>
    </row>
    <row r="903" spans="1:6" x14ac:dyDescent="0.25">
      <c r="A903" s="1">
        <v>40093</v>
      </c>
      <c r="B903">
        <v>7588</v>
      </c>
      <c r="C903">
        <v>7608</v>
      </c>
      <c r="D903">
        <v>7530</v>
      </c>
      <c r="E903">
        <v>7589</v>
      </c>
      <c r="F903">
        <v>7476.4</v>
      </c>
    </row>
    <row r="904" spans="1:6" x14ac:dyDescent="0.25">
      <c r="A904" s="1">
        <v>40094</v>
      </c>
      <c r="B904">
        <v>7589</v>
      </c>
      <c r="C904">
        <v>7627</v>
      </c>
      <c r="D904">
        <v>7450</v>
      </c>
      <c r="E904">
        <v>7485</v>
      </c>
      <c r="F904">
        <v>7466</v>
      </c>
    </row>
    <row r="905" spans="1:6" x14ac:dyDescent="0.25">
      <c r="A905" s="1">
        <v>40095</v>
      </c>
      <c r="B905">
        <v>7513</v>
      </c>
      <c r="C905">
        <v>7566</v>
      </c>
      <c r="D905">
        <v>7464</v>
      </c>
      <c r="E905">
        <v>7559</v>
      </c>
      <c r="F905">
        <v>7507.6</v>
      </c>
    </row>
    <row r="906" spans="1:6" x14ac:dyDescent="0.25">
      <c r="A906" s="1">
        <v>40098</v>
      </c>
      <c r="B906">
        <v>7578</v>
      </c>
      <c r="C906">
        <v>7595</v>
      </c>
      <c r="D906">
        <v>7493</v>
      </c>
      <c r="E906">
        <v>7576</v>
      </c>
      <c r="F906">
        <v>7543.8</v>
      </c>
    </row>
    <row r="907" spans="1:6" x14ac:dyDescent="0.25">
      <c r="A907" s="1">
        <v>40099</v>
      </c>
      <c r="B907">
        <v>7541</v>
      </c>
      <c r="C907">
        <v>7596</v>
      </c>
      <c r="D907">
        <v>7276</v>
      </c>
      <c r="E907">
        <v>7564</v>
      </c>
      <c r="F907">
        <v>7554.6</v>
      </c>
    </row>
    <row r="908" spans="1:6" x14ac:dyDescent="0.25">
      <c r="A908" s="1">
        <v>40100</v>
      </c>
      <c r="B908">
        <v>7598</v>
      </c>
      <c r="C908">
        <v>7702</v>
      </c>
      <c r="D908">
        <v>7591</v>
      </c>
      <c r="E908">
        <v>7702</v>
      </c>
      <c r="F908">
        <v>7577.2</v>
      </c>
    </row>
    <row r="909" spans="1:6" x14ac:dyDescent="0.25">
      <c r="A909" s="1">
        <v>40101</v>
      </c>
      <c r="B909">
        <v>7780</v>
      </c>
      <c r="C909">
        <v>7785</v>
      </c>
      <c r="D909">
        <v>7690</v>
      </c>
      <c r="E909">
        <v>7706</v>
      </c>
      <c r="F909">
        <v>7621.4</v>
      </c>
    </row>
    <row r="910" spans="1:6" x14ac:dyDescent="0.25">
      <c r="A910" s="1">
        <v>40102</v>
      </c>
      <c r="B910">
        <v>7721</v>
      </c>
      <c r="C910">
        <v>7732</v>
      </c>
      <c r="D910">
        <v>7667</v>
      </c>
      <c r="E910">
        <v>7694</v>
      </c>
      <c r="F910">
        <v>7648.4</v>
      </c>
    </row>
    <row r="911" spans="1:6" x14ac:dyDescent="0.25">
      <c r="A911" s="1">
        <v>40105</v>
      </c>
      <c r="B911">
        <v>7650</v>
      </c>
      <c r="C911">
        <v>7762</v>
      </c>
      <c r="D911">
        <v>7625</v>
      </c>
      <c r="E911">
        <v>7754</v>
      </c>
      <c r="F911">
        <v>7684</v>
      </c>
    </row>
    <row r="912" spans="1:6" x14ac:dyDescent="0.25">
      <c r="A912" s="1">
        <v>40106</v>
      </c>
      <c r="B912">
        <v>7799</v>
      </c>
      <c r="C912">
        <v>7800</v>
      </c>
      <c r="D912">
        <v>7732</v>
      </c>
      <c r="E912">
        <v>7750</v>
      </c>
      <c r="F912">
        <v>7721.2</v>
      </c>
    </row>
    <row r="913" spans="1:6" x14ac:dyDescent="0.25">
      <c r="A913" s="1">
        <v>40107</v>
      </c>
      <c r="B913">
        <v>7746</v>
      </c>
      <c r="C913">
        <v>7759</v>
      </c>
      <c r="D913">
        <v>7661</v>
      </c>
      <c r="E913">
        <v>7707</v>
      </c>
      <c r="F913">
        <v>7722.2</v>
      </c>
    </row>
    <row r="914" spans="1:6" x14ac:dyDescent="0.25">
      <c r="A914" s="1">
        <v>40108</v>
      </c>
      <c r="B914">
        <v>7612</v>
      </c>
      <c r="C914">
        <v>7668</v>
      </c>
      <c r="D914">
        <v>7526</v>
      </c>
      <c r="E914">
        <v>7569</v>
      </c>
      <c r="F914">
        <v>7694.8</v>
      </c>
    </row>
    <row r="915" spans="1:6" x14ac:dyDescent="0.25">
      <c r="A915" s="1">
        <v>40109</v>
      </c>
      <c r="B915">
        <v>7599</v>
      </c>
      <c r="C915">
        <v>7633</v>
      </c>
      <c r="D915">
        <v>7571</v>
      </c>
      <c r="E915">
        <v>7599</v>
      </c>
      <c r="F915">
        <v>7675.8</v>
      </c>
    </row>
    <row r="916" spans="1:6" x14ac:dyDescent="0.25">
      <c r="A916" s="1">
        <v>40112</v>
      </c>
      <c r="B916">
        <v>7612</v>
      </c>
      <c r="C916">
        <v>7765</v>
      </c>
      <c r="D916">
        <v>7611</v>
      </c>
      <c r="E916">
        <v>7646</v>
      </c>
      <c r="F916">
        <v>7654.2</v>
      </c>
    </row>
    <row r="917" spans="1:6" x14ac:dyDescent="0.25">
      <c r="A917" s="1">
        <v>40113</v>
      </c>
      <c r="B917">
        <v>7602</v>
      </c>
      <c r="C917">
        <v>7648</v>
      </c>
      <c r="D917">
        <v>7537</v>
      </c>
      <c r="E917">
        <v>7647</v>
      </c>
      <c r="F917">
        <v>7633.6</v>
      </c>
    </row>
    <row r="918" spans="1:6" x14ac:dyDescent="0.25">
      <c r="A918" s="1">
        <v>40114</v>
      </c>
      <c r="B918">
        <v>7610</v>
      </c>
      <c r="C918">
        <v>7650</v>
      </c>
      <c r="D918">
        <v>7502</v>
      </c>
      <c r="E918">
        <v>7506</v>
      </c>
      <c r="F918">
        <v>7593.4</v>
      </c>
    </row>
    <row r="919" spans="1:6" x14ac:dyDescent="0.25">
      <c r="A919" s="1">
        <v>40115</v>
      </c>
      <c r="B919">
        <v>7380</v>
      </c>
      <c r="C919">
        <v>7404</v>
      </c>
      <c r="D919">
        <v>7205</v>
      </c>
      <c r="E919">
        <v>7318</v>
      </c>
      <c r="F919">
        <v>7543.2</v>
      </c>
    </row>
    <row r="920" spans="1:6" x14ac:dyDescent="0.25">
      <c r="A920" s="1">
        <v>40116</v>
      </c>
      <c r="B920">
        <v>7372</v>
      </c>
      <c r="C920">
        <v>7391</v>
      </c>
      <c r="D920">
        <v>7280</v>
      </c>
      <c r="E920">
        <v>7284</v>
      </c>
      <c r="F920">
        <v>7480.2</v>
      </c>
    </row>
    <row r="921" spans="1:6" x14ac:dyDescent="0.25">
      <c r="A921" s="1">
        <v>40119</v>
      </c>
      <c r="B921">
        <v>7150</v>
      </c>
      <c r="C921">
        <v>7295</v>
      </c>
      <c r="D921">
        <v>7135</v>
      </c>
      <c r="E921">
        <v>7280</v>
      </c>
      <c r="F921">
        <v>7407</v>
      </c>
    </row>
    <row r="922" spans="1:6" x14ac:dyDescent="0.25">
      <c r="A922" s="1">
        <v>40120</v>
      </c>
      <c r="B922">
        <v>7285</v>
      </c>
      <c r="C922">
        <v>7319</v>
      </c>
      <c r="D922">
        <v>7253</v>
      </c>
      <c r="E922">
        <v>7277</v>
      </c>
      <c r="F922">
        <v>7333</v>
      </c>
    </row>
    <row r="923" spans="1:6" x14ac:dyDescent="0.25">
      <c r="A923" s="1">
        <v>40121</v>
      </c>
      <c r="B923">
        <v>7304</v>
      </c>
      <c r="C923">
        <v>7444</v>
      </c>
      <c r="D923">
        <v>7304</v>
      </c>
      <c r="E923">
        <v>7443</v>
      </c>
      <c r="F923">
        <v>7320.4</v>
      </c>
    </row>
    <row r="924" spans="1:6" x14ac:dyDescent="0.25">
      <c r="A924" s="1">
        <v>40122</v>
      </c>
      <c r="B924">
        <v>7430</v>
      </c>
      <c r="C924">
        <v>7460</v>
      </c>
      <c r="D924">
        <v>7374</v>
      </c>
      <c r="E924">
        <v>7408</v>
      </c>
      <c r="F924">
        <v>7338.4</v>
      </c>
    </row>
    <row r="925" spans="1:6" x14ac:dyDescent="0.25">
      <c r="A925" s="1">
        <v>40123</v>
      </c>
      <c r="B925">
        <v>7500</v>
      </c>
      <c r="C925">
        <v>7524</v>
      </c>
      <c r="D925">
        <v>7440</v>
      </c>
      <c r="E925">
        <v>7477</v>
      </c>
      <c r="F925">
        <v>7377</v>
      </c>
    </row>
    <row r="926" spans="1:6" x14ac:dyDescent="0.25">
      <c r="A926" s="1">
        <v>40126</v>
      </c>
      <c r="B926">
        <v>7523</v>
      </c>
      <c r="C926">
        <v>7576</v>
      </c>
      <c r="D926">
        <v>7506</v>
      </c>
      <c r="E926">
        <v>7550</v>
      </c>
      <c r="F926">
        <v>7431</v>
      </c>
    </row>
    <row r="927" spans="1:6" x14ac:dyDescent="0.25">
      <c r="A927" s="1">
        <v>40127</v>
      </c>
      <c r="B927">
        <v>7625</v>
      </c>
      <c r="C927">
        <v>7638</v>
      </c>
      <c r="D927">
        <v>7571</v>
      </c>
      <c r="E927">
        <v>7589</v>
      </c>
      <c r="F927">
        <v>7493.4</v>
      </c>
    </row>
    <row r="928" spans="1:6" x14ac:dyDescent="0.25">
      <c r="A928" s="1">
        <v>40128</v>
      </c>
      <c r="B928">
        <v>7610</v>
      </c>
      <c r="C928">
        <v>7683</v>
      </c>
      <c r="D928">
        <v>7552</v>
      </c>
      <c r="E928">
        <v>7683</v>
      </c>
      <c r="F928">
        <v>7541.4</v>
      </c>
    </row>
    <row r="929" spans="1:6" x14ac:dyDescent="0.25">
      <c r="A929" s="1">
        <v>40129</v>
      </c>
      <c r="B929">
        <v>7699</v>
      </c>
      <c r="C929">
        <v>7712</v>
      </c>
      <c r="D929">
        <v>7666</v>
      </c>
      <c r="E929">
        <v>7684</v>
      </c>
      <c r="F929">
        <v>7596.6</v>
      </c>
    </row>
    <row r="930" spans="1:6" x14ac:dyDescent="0.25">
      <c r="A930" s="1">
        <v>40130</v>
      </c>
      <c r="B930">
        <v>7653</v>
      </c>
      <c r="C930">
        <v>7718</v>
      </c>
      <c r="D930">
        <v>7626</v>
      </c>
      <c r="E930">
        <v>7675</v>
      </c>
      <c r="F930">
        <v>7636.2</v>
      </c>
    </row>
    <row r="931" spans="1:6" x14ac:dyDescent="0.25">
      <c r="A931" s="1">
        <v>40133</v>
      </c>
      <c r="B931">
        <v>7692</v>
      </c>
      <c r="C931">
        <v>7809</v>
      </c>
      <c r="D931">
        <v>7675</v>
      </c>
      <c r="E931">
        <v>7809</v>
      </c>
      <c r="F931">
        <v>7688</v>
      </c>
    </row>
    <row r="932" spans="1:6" x14ac:dyDescent="0.25">
      <c r="A932" s="1">
        <v>40134</v>
      </c>
      <c r="B932">
        <v>8000</v>
      </c>
      <c r="C932">
        <v>8000</v>
      </c>
      <c r="D932">
        <v>7730</v>
      </c>
      <c r="E932">
        <v>7739</v>
      </c>
      <c r="F932">
        <v>7718</v>
      </c>
    </row>
    <row r="933" spans="1:6" x14ac:dyDescent="0.25">
      <c r="A933" s="1">
        <v>40135</v>
      </c>
      <c r="B933">
        <v>7768</v>
      </c>
      <c r="C933">
        <v>7803</v>
      </c>
      <c r="D933">
        <v>7750</v>
      </c>
      <c r="E933">
        <v>7787</v>
      </c>
      <c r="F933">
        <v>7738.8</v>
      </c>
    </row>
    <row r="934" spans="1:6" x14ac:dyDescent="0.25">
      <c r="A934" s="1">
        <v>40136</v>
      </c>
      <c r="B934">
        <v>7745</v>
      </c>
      <c r="C934">
        <v>7786</v>
      </c>
      <c r="D934">
        <v>7700</v>
      </c>
      <c r="E934">
        <v>7703</v>
      </c>
      <c r="F934">
        <v>7742.6</v>
      </c>
    </row>
    <row r="935" spans="1:6" x14ac:dyDescent="0.25">
      <c r="A935" s="1">
        <v>40137</v>
      </c>
      <c r="B935">
        <v>7680</v>
      </c>
      <c r="C935">
        <v>7709</v>
      </c>
      <c r="D935">
        <v>7606</v>
      </c>
      <c r="E935">
        <v>7670</v>
      </c>
      <c r="F935">
        <v>7741.6</v>
      </c>
    </row>
    <row r="936" spans="1:6" x14ac:dyDescent="0.25">
      <c r="A936" s="1">
        <v>40140</v>
      </c>
      <c r="B936">
        <v>7670</v>
      </c>
      <c r="C936">
        <v>7695</v>
      </c>
      <c r="D936">
        <v>7637</v>
      </c>
      <c r="E936">
        <v>7692</v>
      </c>
      <c r="F936">
        <v>7718.2</v>
      </c>
    </row>
    <row r="937" spans="1:6" x14ac:dyDescent="0.25">
      <c r="A937" s="1">
        <v>40141</v>
      </c>
      <c r="B937">
        <v>7700</v>
      </c>
      <c r="C937">
        <v>7720</v>
      </c>
      <c r="D937">
        <v>7677</v>
      </c>
      <c r="E937">
        <v>7698</v>
      </c>
      <c r="F937">
        <v>7710</v>
      </c>
    </row>
    <row r="938" spans="1:6" x14ac:dyDescent="0.25">
      <c r="A938" s="1">
        <v>40142</v>
      </c>
      <c r="B938">
        <v>7690</v>
      </c>
      <c r="C938">
        <v>7785</v>
      </c>
      <c r="D938">
        <v>7686</v>
      </c>
      <c r="E938">
        <v>7775</v>
      </c>
      <c r="F938">
        <v>7707.6</v>
      </c>
    </row>
    <row r="939" spans="1:6" x14ac:dyDescent="0.25">
      <c r="A939" s="1">
        <v>40143</v>
      </c>
      <c r="B939">
        <v>7770</v>
      </c>
      <c r="C939">
        <v>7825</v>
      </c>
      <c r="D939">
        <v>7732</v>
      </c>
      <c r="E939">
        <v>7745</v>
      </c>
      <c r="F939">
        <v>7716</v>
      </c>
    </row>
    <row r="940" spans="1:6" x14ac:dyDescent="0.25">
      <c r="A940" s="1">
        <v>40144</v>
      </c>
      <c r="B940">
        <v>7642</v>
      </c>
      <c r="C940">
        <v>7642</v>
      </c>
      <c r="D940">
        <v>7436</v>
      </c>
      <c r="E940">
        <v>7440</v>
      </c>
      <c r="F940">
        <v>7670</v>
      </c>
    </row>
    <row r="941" spans="1:6" x14ac:dyDescent="0.25">
      <c r="A941" s="1">
        <v>40147</v>
      </c>
      <c r="B941">
        <v>7555</v>
      </c>
      <c r="C941">
        <v>7592</v>
      </c>
      <c r="D941">
        <v>7540</v>
      </c>
      <c r="E941">
        <v>7560</v>
      </c>
      <c r="F941">
        <v>7643.6</v>
      </c>
    </row>
    <row r="942" spans="1:6" x14ac:dyDescent="0.25">
      <c r="A942" s="1">
        <v>40148</v>
      </c>
      <c r="B942">
        <v>7580</v>
      </c>
      <c r="C942">
        <v>7670</v>
      </c>
      <c r="D942">
        <v>7512</v>
      </c>
      <c r="E942">
        <v>7638</v>
      </c>
      <c r="F942">
        <v>7631.6</v>
      </c>
    </row>
    <row r="943" spans="1:6" x14ac:dyDescent="0.25">
      <c r="A943" s="1">
        <v>40149</v>
      </c>
      <c r="B943">
        <v>7670</v>
      </c>
      <c r="C943">
        <v>7722</v>
      </c>
      <c r="D943">
        <v>7655</v>
      </c>
      <c r="E943">
        <v>7688</v>
      </c>
      <c r="F943">
        <v>7614.2</v>
      </c>
    </row>
    <row r="944" spans="1:6" x14ac:dyDescent="0.25">
      <c r="A944" s="1">
        <v>40150</v>
      </c>
      <c r="B944">
        <v>7733</v>
      </c>
      <c r="C944">
        <v>7756</v>
      </c>
      <c r="D944">
        <v>7639</v>
      </c>
      <c r="E944">
        <v>7700</v>
      </c>
      <c r="F944">
        <v>7605.2</v>
      </c>
    </row>
    <row r="945" spans="1:6" x14ac:dyDescent="0.25">
      <c r="A945" s="1">
        <v>40151</v>
      </c>
      <c r="B945">
        <v>7665</v>
      </c>
      <c r="C945">
        <v>7710</v>
      </c>
      <c r="D945">
        <v>7588</v>
      </c>
      <c r="E945">
        <v>7588</v>
      </c>
      <c r="F945">
        <v>7634.8</v>
      </c>
    </row>
    <row r="946" spans="1:6" x14ac:dyDescent="0.25">
      <c r="A946" s="1">
        <v>40154</v>
      </c>
      <c r="B946">
        <v>7613</v>
      </c>
      <c r="C946">
        <v>7782</v>
      </c>
      <c r="D946">
        <v>7613</v>
      </c>
      <c r="E946">
        <v>7752</v>
      </c>
      <c r="F946">
        <v>7673.2</v>
      </c>
    </row>
    <row r="947" spans="1:6" x14ac:dyDescent="0.25">
      <c r="A947" s="1">
        <v>40155</v>
      </c>
      <c r="B947">
        <v>7748</v>
      </c>
      <c r="C947">
        <v>7774</v>
      </c>
      <c r="D947">
        <v>7710</v>
      </c>
      <c r="E947">
        <v>7755</v>
      </c>
      <c r="F947">
        <v>7696.6</v>
      </c>
    </row>
    <row r="948" spans="1:6" x14ac:dyDescent="0.25">
      <c r="A948" s="1">
        <v>40156</v>
      </c>
      <c r="B948">
        <v>7705</v>
      </c>
      <c r="C948">
        <v>7794</v>
      </c>
      <c r="D948">
        <v>7705</v>
      </c>
      <c r="E948">
        <v>7792</v>
      </c>
      <c r="F948">
        <v>7717.4</v>
      </c>
    </row>
    <row r="949" spans="1:6" x14ac:dyDescent="0.25">
      <c r="A949" s="1">
        <v>40157</v>
      </c>
      <c r="B949">
        <v>7794</v>
      </c>
      <c r="C949">
        <v>7807</v>
      </c>
      <c r="D949">
        <v>7590</v>
      </c>
      <c r="E949">
        <v>7640</v>
      </c>
      <c r="F949">
        <v>7705.4</v>
      </c>
    </row>
    <row r="950" spans="1:6" x14ac:dyDescent="0.25">
      <c r="A950" s="1">
        <v>40158</v>
      </c>
      <c r="B950">
        <v>7660</v>
      </c>
      <c r="C950">
        <v>7794</v>
      </c>
      <c r="D950">
        <v>7641</v>
      </c>
      <c r="E950">
        <v>7790</v>
      </c>
      <c r="F950">
        <v>7745.8</v>
      </c>
    </row>
    <row r="951" spans="1:6" x14ac:dyDescent="0.25">
      <c r="A951" s="1">
        <v>40161</v>
      </c>
      <c r="B951">
        <v>7790</v>
      </c>
      <c r="C951">
        <v>7845</v>
      </c>
      <c r="D951">
        <v>7735</v>
      </c>
      <c r="E951">
        <v>7828</v>
      </c>
      <c r="F951">
        <v>7761</v>
      </c>
    </row>
    <row r="952" spans="1:6" x14ac:dyDescent="0.25">
      <c r="A952" s="1">
        <v>40162</v>
      </c>
      <c r="B952">
        <v>7829</v>
      </c>
      <c r="C952">
        <v>7849</v>
      </c>
      <c r="D952">
        <v>7781</v>
      </c>
      <c r="E952">
        <v>7798</v>
      </c>
      <c r="F952">
        <v>7769.6</v>
      </c>
    </row>
    <row r="953" spans="1:6" x14ac:dyDescent="0.25">
      <c r="A953" s="1">
        <v>40163</v>
      </c>
      <c r="B953">
        <v>7804</v>
      </c>
      <c r="C953">
        <v>7816</v>
      </c>
      <c r="D953">
        <v>7706</v>
      </c>
      <c r="E953">
        <v>7752</v>
      </c>
      <c r="F953">
        <v>7761.6</v>
      </c>
    </row>
    <row r="954" spans="1:6" x14ac:dyDescent="0.25">
      <c r="A954" s="1">
        <v>40164</v>
      </c>
      <c r="B954">
        <v>7715</v>
      </c>
      <c r="C954">
        <v>7798</v>
      </c>
      <c r="D954">
        <v>7666</v>
      </c>
      <c r="E954">
        <v>7688</v>
      </c>
      <c r="F954">
        <v>7771.2</v>
      </c>
    </row>
    <row r="955" spans="1:6" x14ac:dyDescent="0.25">
      <c r="A955" s="1">
        <v>40165</v>
      </c>
      <c r="B955">
        <v>7651</v>
      </c>
      <c r="C955">
        <v>7713</v>
      </c>
      <c r="D955">
        <v>7611</v>
      </c>
      <c r="E955">
        <v>7703</v>
      </c>
      <c r="F955">
        <v>7753.8</v>
      </c>
    </row>
    <row r="956" spans="1:6" x14ac:dyDescent="0.25">
      <c r="A956" s="1">
        <v>40168</v>
      </c>
      <c r="B956">
        <v>7704</v>
      </c>
      <c r="C956">
        <v>7789</v>
      </c>
      <c r="D956">
        <v>7701</v>
      </c>
      <c r="E956">
        <v>7756</v>
      </c>
      <c r="F956">
        <v>7739.4</v>
      </c>
    </row>
    <row r="957" spans="1:6" x14ac:dyDescent="0.25">
      <c r="A957" s="1">
        <v>40169</v>
      </c>
      <c r="B957">
        <v>7780</v>
      </c>
      <c r="C957">
        <v>7833</v>
      </c>
      <c r="D957">
        <v>7772</v>
      </c>
      <c r="E957">
        <v>7832</v>
      </c>
      <c r="F957">
        <v>7746.2</v>
      </c>
    </row>
    <row r="958" spans="1:6" x14ac:dyDescent="0.25">
      <c r="A958" s="1">
        <v>40170</v>
      </c>
      <c r="B958">
        <v>7850</v>
      </c>
      <c r="C958">
        <v>7878</v>
      </c>
      <c r="D958">
        <v>7817</v>
      </c>
      <c r="E958">
        <v>7867</v>
      </c>
      <c r="F958">
        <v>7769.2</v>
      </c>
    </row>
    <row r="959" spans="1:6" x14ac:dyDescent="0.25">
      <c r="A959" s="1">
        <v>40171</v>
      </c>
      <c r="B959">
        <v>7874</v>
      </c>
      <c r="C959">
        <v>7974</v>
      </c>
      <c r="D959">
        <v>7871</v>
      </c>
      <c r="E959">
        <v>7951</v>
      </c>
      <c r="F959">
        <v>7821.8</v>
      </c>
    </row>
    <row r="960" spans="1:6" x14ac:dyDescent="0.25">
      <c r="A960" s="1">
        <v>40172</v>
      </c>
      <c r="B960">
        <v>7968</v>
      </c>
      <c r="C960">
        <v>7987</v>
      </c>
      <c r="D960">
        <v>7945</v>
      </c>
      <c r="E960">
        <v>7984</v>
      </c>
      <c r="F960">
        <v>7878</v>
      </c>
    </row>
    <row r="961" spans="1:6" x14ac:dyDescent="0.25">
      <c r="A961" s="1">
        <v>40175</v>
      </c>
      <c r="B961">
        <v>7993</v>
      </c>
      <c r="C961">
        <v>8078</v>
      </c>
      <c r="D961">
        <v>7976</v>
      </c>
      <c r="E961">
        <v>8048</v>
      </c>
      <c r="F961">
        <v>7936.4</v>
      </c>
    </row>
    <row r="962" spans="1:6" x14ac:dyDescent="0.25">
      <c r="A962" s="1">
        <v>40176</v>
      </c>
      <c r="B962">
        <v>8043</v>
      </c>
      <c r="C962">
        <v>8063</v>
      </c>
      <c r="D962">
        <v>8022</v>
      </c>
      <c r="E962">
        <v>8059</v>
      </c>
      <c r="F962">
        <v>7981.8</v>
      </c>
    </row>
    <row r="963" spans="1:6" x14ac:dyDescent="0.25">
      <c r="A963" s="1">
        <v>40177</v>
      </c>
      <c r="B963">
        <v>8055</v>
      </c>
      <c r="C963">
        <v>8115</v>
      </c>
      <c r="D963">
        <v>8042</v>
      </c>
      <c r="E963">
        <v>8090</v>
      </c>
      <c r="F963">
        <v>8026.4</v>
      </c>
    </row>
    <row r="964" spans="1:6" x14ac:dyDescent="0.25">
      <c r="A964" s="1">
        <v>40178</v>
      </c>
      <c r="B964">
        <v>8105</v>
      </c>
      <c r="C964">
        <v>8206</v>
      </c>
      <c r="D964">
        <v>8102</v>
      </c>
      <c r="E964">
        <v>8205</v>
      </c>
      <c r="F964">
        <v>8077.2</v>
      </c>
    </row>
    <row r="965" spans="1:6" x14ac:dyDescent="0.25">
      <c r="A965" s="1">
        <v>40182</v>
      </c>
      <c r="B965">
        <v>8195</v>
      </c>
      <c r="C965">
        <v>8210</v>
      </c>
      <c r="D965">
        <v>8101</v>
      </c>
      <c r="E965">
        <v>8166</v>
      </c>
      <c r="F965">
        <v>8113.6</v>
      </c>
    </row>
    <row r="966" spans="1:6" x14ac:dyDescent="0.25">
      <c r="A966" s="1">
        <v>40183</v>
      </c>
      <c r="B966">
        <v>8207</v>
      </c>
      <c r="C966">
        <v>8260</v>
      </c>
      <c r="D966">
        <v>8126</v>
      </c>
      <c r="E966">
        <v>8176</v>
      </c>
      <c r="F966">
        <v>8139.2</v>
      </c>
    </row>
    <row r="967" spans="1:6" x14ac:dyDescent="0.25">
      <c r="A967" s="1">
        <v>40184</v>
      </c>
      <c r="B967">
        <v>8198</v>
      </c>
      <c r="C967">
        <v>8337</v>
      </c>
      <c r="D967">
        <v>8179</v>
      </c>
      <c r="E967">
        <v>8324</v>
      </c>
      <c r="F967">
        <v>8192.2000000000007</v>
      </c>
    </row>
    <row r="968" spans="1:6" x14ac:dyDescent="0.25">
      <c r="A968" s="1">
        <v>40185</v>
      </c>
      <c r="B968">
        <v>8320</v>
      </c>
      <c r="C968">
        <v>8355</v>
      </c>
      <c r="D968">
        <v>8231</v>
      </c>
      <c r="E968">
        <v>8257</v>
      </c>
      <c r="F968">
        <v>8225.6</v>
      </c>
    </row>
    <row r="969" spans="1:6" x14ac:dyDescent="0.25">
      <c r="A969" s="1">
        <v>40186</v>
      </c>
      <c r="B969">
        <v>8279</v>
      </c>
      <c r="C969">
        <v>8297</v>
      </c>
      <c r="D969">
        <v>8182</v>
      </c>
      <c r="E969">
        <v>8278</v>
      </c>
      <c r="F969">
        <v>8240.2000000000007</v>
      </c>
    </row>
    <row r="970" spans="1:6" x14ac:dyDescent="0.25">
      <c r="A970" s="1">
        <v>40189</v>
      </c>
      <c r="B970">
        <v>8279</v>
      </c>
      <c r="C970">
        <v>8353</v>
      </c>
      <c r="D970">
        <v>8182</v>
      </c>
      <c r="E970">
        <v>8323</v>
      </c>
      <c r="F970">
        <v>8271.6</v>
      </c>
    </row>
    <row r="971" spans="1:6" x14ac:dyDescent="0.25">
      <c r="A971" s="1">
        <v>40190</v>
      </c>
      <c r="B971">
        <v>8319</v>
      </c>
      <c r="C971">
        <v>8337</v>
      </c>
      <c r="D971">
        <v>8247</v>
      </c>
      <c r="E971">
        <v>8309</v>
      </c>
      <c r="F971">
        <v>8298.2000000000007</v>
      </c>
    </row>
    <row r="972" spans="1:6" x14ac:dyDescent="0.25">
      <c r="A972" s="1">
        <v>40191</v>
      </c>
      <c r="B972">
        <v>8262</v>
      </c>
      <c r="C972">
        <v>8275</v>
      </c>
      <c r="D972">
        <v>8191</v>
      </c>
      <c r="E972">
        <v>8215</v>
      </c>
      <c r="F972">
        <v>8276.4</v>
      </c>
    </row>
    <row r="973" spans="1:6" x14ac:dyDescent="0.25">
      <c r="A973" s="1">
        <v>40192</v>
      </c>
      <c r="B973">
        <v>8240</v>
      </c>
      <c r="C973">
        <v>8329</v>
      </c>
      <c r="D973">
        <v>8235</v>
      </c>
      <c r="E973">
        <v>8301</v>
      </c>
      <c r="F973">
        <v>8285.2000000000007</v>
      </c>
    </row>
    <row r="974" spans="1:6" x14ac:dyDescent="0.25">
      <c r="A974" s="1">
        <v>40193</v>
      </c>
      <c r="B974">
        <v>8310</v>
      </c>
      <c r="C974">
        <v>8384</v>
      </c>
      <c r="D974">
        <v>8307</v>
      </c>
      <c r="E974">
        <v>8368</v>
      </c>
      <c r="F974">
        <v>8303.2000000000007</v>
      </c>
    </row>
    <row r="975" spans="1:6" x14ac:dyDescent="0.25">
      <c r="A975" s="1">
        <v>40196</v>
      </c>
      <c r="B975">
        <v>8302</v>
      </c>
      <c r="C975">
        <v>8383</v>
      </c>
      <c r="D975">
        <v>8285</v>
      </c>
      <c r="E975">
        <v>8351</v>
      </c>
      <c r="F975">
        <v>8308.7999999999993</v>
      </c>
    </row>
    <row r="976" spans="1:6" x14ac:dyDescent="0.25">
      <c r="A976" s="1">
        <v>40197</v>
      </c>
      <c r="B976">
        <v>8362</v>
      </c>
      <c r="C976">
        <v>8382</v>
      </c>
      <c r="D976">
        <v>8230</v>
      </c>
      <c r="E976">
        <v>8268</v>
      </c>
      <c r="F976">
        <v>8300.6</v>
      </c>
    </row>
    <row r="977" spans="1:6" x14ac:dyDescent="0.25">
      <c r="A977" s="1">
        <v>40198</v>
      </c>
      <c r="B977">
        <v>8301</v>
      </c>
      <c r="C977">
        <v>8311</v>
      </c>
      <c r="D977">
        <v>8197</v>
      </c>
      <c r="E977">
        <v>8215</v>
      </c>
      <c r="F977">
        <v>8300.6</v>
      </c>
    </row>
    <row r="978" spans="1:6" x14ac:dyDescent="0.25">
      <c r="A978" s="1">
        <v>40199</v>
      </c>
      <c r="B978">
        <v>8180</v>
      </c>
      <c r="C978">
        <v>8213</v>
      </c>
      <c r="D978">
        <v>8113</v>
      </c>
      <c r="E978">
        <v>8132</v>
      </c>
      <c r="F978">
        <v>8266.7999999999993</v>
      </c>
    </row>
    <row r="979" spans="1:6" x14ac:dyDescent="0.25">
      <c r="A979" s="1">
        <v>40200</v>
      </c>
      <c r="B979">
        <v>8048</v>
      </c>
      <c r="C979">
        <v>8050</v>
      </c>
      <c r="D979">
        <v>7885</v>
      </c>
      <c r="E979">
        <v>7896</v>
      </c>
      <c r="F979">
        <v>8172.4</v>
      </c>
    </row>
    <row r="980" spans="1:6" x14ac:dyDescent="0.25">
      <c r="A980" s="1">
        <v>40203</v>
      </c>
      <c r="B980">
        <v>7801</v>
      </c>
      <c r="C980">
        <v>7911</v>
      </c>
      <c r="D980">
        <v>7801</v>
      </c>
      <c r="E980">
        <v>7854</v>
      </c>
      <c r="F980">
        <v>8073</v>
      </c>
    </row>
    <row r="981" spans="1:6" x14ac:dyDescent="0.25">
      <c r="A981" s="1">
        <v>40204</v>
      </c>
      <c r="B981">
        <v>7840</v>
      </c>
      <c r="C981">
        <v>7887</v>
      </c>
      <c r="D981">
        <v>7520</v>
      </c>
      <c r="E981">
        <v>7565</v>
      </c>
      <c r="F981">
        <v>7932.4</v>
      </c>
    </row>
    <row r="982" spans="1:6" x14ac:dyDescent="0.25">
      <c r="A982" s="1">
        <v>40205</v>
      </c>
      <c r="B982">
        <v>7581</v>
      </c>
      <c r="C982">
        <v>7633</v>
      </c>
      <c r="D982">
        <v>7509</v>
      </c>
      <c r="E982">
        <v>7536</v>
      </c>
      <c r="F982">
        <v>7796.6</v>
      </c>
    </row>
    <row r="983" spans="1:6" x14ac:dyDescent="0.25">
      <c r="A983" s="1">
        <v>40206</v>
      </c>
      <c r="B983">
        <v>7575</v>
      </c>
      <c r="C983">
        <v>7745</v>
      </c>
      <c r="D983">
        <v>7556</v>
      </c>
      <c r="E983">
        <v>7699</v>
      </c>
      <c r="F983">
        <v>7710</v>
      </c>
    </row>
    <row r="984" spans="1:6" x14ac:dyDescent="0.25">
      <c r="A984" s="1">
        <v>40207</v>
      </c>
      <c r="B984">
        <v>7594</v>
      </c>
      <c r="C984">
        <v>7632</v>
      </c>
      <c r="D984">
        <v>7441</v>
      </c>
      <c r="E984">
        <v>7578</v>
      </c>
      <c r="F984">
        <v>7646.4</v>
      </c>
    </row>
    <row r="985" spans="1:6" x14ac:dyDescent="0.25">
      <c r="A985" s="1">
        <v>40210</v>
      </c>
      <c r="B985">
        <v>7575</v>
      </c>
      <c r="C985">
        <v>7632</v>
      </c>
      <c r="D985">
        <v>7443</v>
      </c>
      <c r="E985">
        <v>7512</v>
      </c>
      <c r="F985">
        <v>7578</v>
      </c>
    </row>
    <row r="986" spans="1:6" x14ac:dyDescent="0.25">
      <c r="A986" s="1">
        <v>40211</v>
      </c>
      <c r="B986">
        <v>7574</v>
      </c>
      <c r="C986">
        <v>7603</v>
      </c>
      <c r="D986">
        <v>7346</v>
      </c>
      <c r="E986">
        <v>7371</v>
      </c>
      <c r="F986">
        <v>7539.2</v>
      </c>
    </row>
    <row r="987" spans="1:6" x14ac:dyDescent="0.25">
      <c r="A987" s="1">
        <v>40212</v>
      </c>
      <c r="B987">
        <v>7466</v>
      </c>
      <c r="C987">
        <v>7529</v>
      </c>
      <c r="D987">
        <v>7390</v>
      </c>
      <c r="E987">
        <v>7502</v>
      </c>
      <c r="F987">
        <v>7532.4</v>
      </c>
    </row>
    <row r="988" spans="1:6" x14ac:dyDescent="0.25">
      <c r="A988" s="1">
        <v>40213</v>
      </c>
      <c r="B988">
        <v>7500</v>
      </c>
      <c r="C988">
        <v>7538</v>
      </c>
      <c r="D988">
        <v>7459</v>
      </c>
      <c r="E988">
        <v>7507</v>
      </c>
      <c r="F988">
        <v>7494</v>
      </c>
    </row>
    <row r="989" spans="1:6" x14ac:dyDescent="0.25">
      <c r="A989" s="1">
        <v>40214</v>
      </c>
      <c r="B989">
        <v>7291</v>
      </c>
      <c r="C989">
        <v>7323</v>
      </c>
      <c r="D989">
        <v>7131</v>
      </c>
      <c r="E989">
        <v>7204</v>
      </c>
      <c r="F989">
        <v>7419.2</v>
      </c>
    </row>
    <row r="990" spans="1:6" x14ac:dyDescent="0.25">
      <c r="A990" s="1">
        <v>40215</v>
      </c>
      <c r="B990">
        <v>7220</v>
      </c>
      <c r="C990">
        <v>7238</v>
      </c>
      <c r="D990">
        <v>7055</v>
      </c>
      <c r="E990">
        <v>7152</v>
      </c>
      <c r="F990">
        <v>7347.2</v>
      </c>
    </row>
    <row r="991" spans="1:6" x14ac:dyDescent="0.25">
      <c r="A991" s="1">
        <v>40217</v>
      </c>
      <c r="B991">
        <v>7158</v>
      </c>
      <c r="C991">
        <v>7235</v>
      </c>
      <c r="D991">
        <v>7125</v>
      </c>
      <c r="E991">
        <v>7160</v>
      </c>
      <c r="F991">
        <v>7305</v>
      </c>
    </row>
    <row r="992" spans="1:6" x14ac:dyDescent="0.25">
      <c r="A992" s="1">
        <v>40218</v>
      </c>
      <c r="B992">
        <v>7175</v>
      </c>
      <c r="C992">
        <v>7344</v>
      </c>
      <c r="D992">
        <v>7151</v>
      </c>
      <c r="E992">
        <v>7318</v>
      </c>
      <c r="F992">
        <v>7268.2</v>
      </c>
    </row>
    <row r="993" spans="1:6" x14ac:dyDescent="0.25">
      <c r="A993" s="1">
        <v>40219</v>
      </c>
      <c r="B993">
        <v>7354</v>
      </c>
      <c r="C993">
        <v>7478</v>
      </c>
      <c r="D993">
        <v>7346</v>
      </c>
      <c r="E993">
        <v>7415</v>
      </c>
      <c r="F993">
        <v>7249.8</v>
      </c>
    </row>
    <row r="994" spans="1:6" x14ac:dyDescent="0.25">
      <c r="A994" s="1">
        <v>40231</v>
      </c>
      <c r="B994">
        <v>7615</v>
      </c>
      <c r="C994">
        <v>7695</v>
      </c>
      <c r="D994">
        <v>7552</v>
      </c>
      <c r="E994">
        <v>7557</v>
      </c>
      <c r="F994">
        <v>7320.4</v>
      </c>
    </row>
    <row r="995" spans="1:6" x14ac:dyDescent="0.25">
      <c r="A995" s="1">
        <v>40232</v>
      </c>
      <c r="B995">
        <v>7534</v>
      </c>
      <c r="C995">
        <v>7552</v>
      </c>
      <c r="D995">
        <v>7451</v>
      </c>
      <c r="E995">
        <v>7540</v>
      </c>
      <c r="F995">
        <v>7398</v>
      </c>
    </row>
    <row r="996" spans="1:6" x14ac:dyDescent="0.25">
      <c r="A996" s="1">
        <v>40233</v>
      </c>
      <c r="B996">
        <v>7466</v>
      </c>
      <c r="C996">
        <v>7545</v>
      </c>
      <c r="D996">
        <v>7458</v>
      </c>
      <c r="E996">
        <v>7482</v>
      </c>
      <c r="F996">
        <v>7462.4</v>
      </c>
    </row>
    <row r="997" spans="1:6" x14ac:dyDescent="0.25">
      <c r="A997" s="1">
        <v>40234</v>
      </c>
      <c r="B997">
        <v>7513</v>
      </c>
      <c r="C997">
        <v>7522</v>
      </c>
      <c r="D997">
        <v>7335</v>
      </c>
      <c r="E997">
        <v>7366</v>
      </c>
      <c r="F997">
        <v>7472</v>
      </c>
    </row>
    <row r="998" spans="1:6" x14ac:dyDescent="0.25">
      <c r="A998" s="1">
        <v>40235</v>
      </c>
      <c r="B998">
        <v>7383</v>
      </c>
      <c r="C998">
        <v>7432</v>
      </c>
      <c r="D998">
        <v>7341</v>
      </c>
      <c r="E998">
        <v>7385</v>
      </c>
      <c r="F998">
        <v>7466</v>
      </c>
    </row>
    <row r="999" spans="1:6" x14ac:dyDescent="0.25">
      <c r="A999" s="1">
        <v>40238</v>
      </c>
      <c r="B999">
        <v>7410</v>
      </c>
      <c r="C999">
        <v>7605</v>
      </c>
      <c r="D999">
        <v>7394</v>
      </c>
      <c r="E999">
        <v>7575</v>
      </c>
      <c r="F999">
        <v>7469.6</v>
      </c>
    </row>
    <row r="1000" spans="1:6" x14ac:dyDescent="0.25">
      <c r="A1000" s="1">
        <v>40239</v>
      </c>
      <c r="B1000">
        <v>7608</v>
      </c>
      <c r="C1000">
        <v>7649</v>
      </c>
      <c r="D1000">
        <v>7570</v>
      </c>
      <c r="E1000">
        <v>7600</v>
      </c>
      <c r="F1000">
        <v>7481.6</v>
      </c>
    </row>
    <row r="1001" spans="1:6" x14ac:dyDescent="0.25">
      <c r="A1001" s="1">
        <v>40240</v>
      </c>
      <c r="B1001">
        <v>7599</v>
      </c>
      <c r="C1001">
        <v>7664</v>
      </c>
      <c r="D1001">
        <v>7579</v>
      </c>
      <c r="E1001">
        <v>7613</v>
      </c>
      <c r="F1001">
        <v>7507.8</v>
      </c>
    </row>
    <row r="1002" spans="1:6" x14ac:dyDescent="0.25">
      <c r="A1002" s="1">
        <v>40241</v>
      </c>
      <c r="B1002">
        <v>7624</v>
      </c>
      <c r="C1002">
        <v>7640</v>
      </c>
      <c r="D1002">
        <v>7463</v>
      </c>
      <c r="E1002">
        <v>7525</v>
      </c>
      <c r="F1002">
        <v>7539.6</v>
      </c>
    </row>
    <row r="1003" spans="1:6" x14ac:dyDescent="0.25">
      <c r="A1003" s="1">
        <v>40242</v>
      </c>
      <c r="B1003">
        <v>7599</v>
      </c>
      <c r="C1003">
        <v>7692</v>
      </c>
      <c r="D1003">
        <v>7558</v>
      </c>
      <c r="E1003">
        <v>7656</v>
      </c>
      <c r="F1003">
        <v>7593.8</v>
      </c>
    </row>
    <row r="1004" spans="1:6" x14ac:dyDescent="0.25">
      <c r="A1004" s="1">
        <v>40245</v>
      </c>
      <c r="B1004">
        <v>7731</v>
      </c>
      <c r="C1004">
        <v>7758</v>
      </c>
      <c r="D1004">
        <v>7687</v>
      </c>
      <c r="E1004">
        <v>7756</v>
      </c>
      <c r="F1004">
        <v>7630</v>
      </c>
    </row>
    <row r="1005" spans="1:6" x14ac:dyDescent="0.25">
      <c r="A1005" s="1">
        <v>40246</v>
      </c>
      <c r="B1005">
        <v>7760</v>
      </c>
      <c r="C1005">
        <v>7773</v>
      </c>
      <c r="D1005">
        <v>7725</v>
      </c>
      <c r="E1005">
        <v>7764</v>
      </c>
      <c r="F1005">
        <v>7662.8</v>
      </c>
    </row>
    <row r="1006" spans="1:6" x14ac:dyDescent="0.25">
      <c r="A1006" s="1">
        <v>40247</v>
      </c>
      <c r="B1006">
        <v>7765</v>
      </c>
      <c r="C1006">
        <v>7792</v>
      </c>
      <c r="D1006">
        <v>7703</v>
      </c>
      <c r="E1006">
        <v>7770</v>
      </c>
      <c r="F1006">
        <v>7694.2</v>
      </c>
    </row>
    <row r="1007" spans="1:6" x14ac:dyDescent="0.25">
      <c r="A1007" s="1">
        <v>40248</v>
      </c>
      <c r="B1007">
        <v>7798</v>
      </c>
      <c r="C1007">
        <v>7808</v>
      </c>
      <c r="D1007">
        <v>7731</v>
      </c>
      <c r="E1007">
        <v>7757</v>
      </c>
      <c r="F1007">
        <v>7740.6</v>
      </c>
    </row>
    <row r="1008" spans="1:6" x14ac:dyDescent="0.25">
      <c r="A1008" s="1">
        <v>40249</v>
      </c>
      <c r="B1008">
        <v>7785</v>
      </c>
      <c r="C1008">
        <v>7788</v>
      </c>
      <c r="D1008">
        <v>7712</v>
      </c>
      <c r="E1008">
        <v>7753</v>
      </c>
      <c r="F1008">
        <v>7760</v>
      </c>
    </row>
    <row r="1009" spans="1:6" x14ac:dyDescent="0.25">
      <c r="A1009" s="1">
        <v>40252</v>
      </c>
      <c r="B1009">
        <v>7750</v>
      </c>
      <c r="C1009">
        <v>7758</v>
      </c>
      <c r="D1009">
        <v>7632</v>
      </c>
      <c r="E1009">
        <v>7656</v>
      </c>
      <c r="F1009">
        <v>7740</v>
      </c>
    </row>
    <row r="1010" spans="1:6" x14ac:dyDescent="0.25">
      <c r="A1010" s="1">
        <v>40253</v>
      </c>
      <c r="B1010">
        <v>7645</v>
      </c>
      <c r="C1010">
        <v>7707</v>
      </c>
      <c r="D1010">
        <v>7642</v>
      </c>
      <c r="E1010">
        <v>7704</v>
      </c>
      <c r="F1010">
        <v>7728</v>
      </c>
    </row>
    <row r="1011" spans="1:6" x14ac:dyDescent="0.25">
      <c r="A1011" s="1">
        <v>40254</v>
      </c>
      <c r="B1011">
        <v>7743</v>
      </c>
      <c r="C1011">
        <v>7844</v>
      </c>
      <c r="D1011">
        <v>7743</v>
      </c>
      <c r="E1011">
        <v>7841</v>
      </c>
      <c r="F1011">
        <v>7742.2</v>
      </c>
    </row>
    <row r="1012" spans="1:6" x14ac:dyDescent="0.25">
      <c r="A1012" s="1">
        <v>40255</v>
      </c>
      <c r="B1012">
        <v>7840</v>
      </c>
      <c r="C1012">
        <v>7922</v>
      </c>
      <c r="D1012">
        <v>7817</v>
      </c>
      <c r="E1012">
        <v>7850</v>
      </c>
      <c r="F1012">
        <v>7760.8</v>
      </c>
    </row>
    <row r="1013" spans="1:6" x14ac:dyDescent="0.25">
      <c r="A1013" s="1">
        <v>40256</v>
      </c>
      <c r="B1013">
        <v>7862</v>
      </c>
      <c r="C1013">
        <v>7885</v>
      </c>
      <c r="D1013">
        <v>7827</v>
      </c>
      <c r="E1013">
        <v>7870</v>
      </c>
      <c r="F1013">
        <v>7784.2</v>
      </c>
    </row>
    <row r="1014" spans="1:6" x14ac:dyDescent="0.25">
      <c r="A1014" s="1">
        <v>40259</v>
      </c>
      <c r="B1014">
        <v>7835</v>
      </c>
      <c r="C1014">
        <v>7839</v>
      </c>
      <c r="D1014">
        <v>7743</v>
      </c>
      <c r="E1014">
        <v>7803</v>
      </c>
      <c r="F1014">
        <v>7813.6</v>
      </c>
    </row>
    <row r="1015" spans="1:6" x14ac:dyDescent="0.25">
      <c r="A1015" s="1">
        <v>40260</v>
      </c>
      <c r="B1015">
        <v>7842</v>
      </c>
      <c r="C1015">
        <v>7862</v>
      </c>
      <c r="D1015">
        <v>7756</v>
      </c>
      <c r="E1015">
        <v>7806</v>
      </c>
      <c r="F1015">
        <v>7834</v>
      </c>
    </row>
    <row r="1016" spans="1:6" x14ac:dyDescent="0.25">
      <c r="A1016" s="1">
        <v>40261</v>
      </c>
      <c r="B1016">
        <v>7860</v>
      </c>
      <c r="C1016">
        <v>7877</v>
      </c>
      <c r="D1016">
        <v>7805</v>
      </c>
      <c r="E1016">
        <v>7813</v>
      </c>
      <c r="F1016">
        <v>7828.4</v>
      </c>
    </row>
    <row r="1017" spans="1:6" x14ac:dyDescent="0.25">
      <c r="A1017" s="1">
        <v>40262</v>
      </c>
      <c r="B1017">
        <v>7798</v>
      </c>
      <c r="C1017">
        <v>7858</v>
      </c>
      <c r="D1017">
        <v>7716</v>
      </c>
      <c r="E1017">
        <v>7806</v>
      </c>
      <c r="F1017">
        <v>7819.6</v>
      </c>
    </row>
    <row r="1018" spans="1:6" x14ac:dyDescent="0.25">
      <c r="A1018" s="1">
        <v>40263</v>
      </c>
      <c r="B1018">
        <v>7803</v>
      </c>
      <c r="C1018">
        <v>7918</v>
      </c>
      <c r="D1018">
        <v>7725</v>
      </c>
      <c r="E1018">
        <v>7887</v>
      </c>
      <c r="F1018">
        <v>7823</v>
      </c>
    </row>
    <row r="1019" spans="1:6" x14ac:dyDescent="0.25">
      <c r="A1019" s="1">
        <v>40266</v>
      </c>
      <c r="B1019">
        <v>7903</v>
      </c>
      <c r="C1019">
        <v>7965</v>
      </c>
      <c r="D1019">
        <v>7883</v>
      </c>
      <c r="E1019">
        <v>7960</v>
      </c>
      <c r="F1019">
        <v>7854.4</v>
      </c>
    </row>
    <row r="1020" spans="1:6" x14ac:dyDescent="0.25">
      <c r="A1020" s="1">
        <v>40267</v>
      </c>
      <c r="B1020">
        <v>7980</v>
      </c>
      <c r="C1020">
        <v>7990</v>
      </c>
      <c r="D1020">
        <v>7940</v>
      </c>
      <c r="E1020">
        <v>7959</v>
      </c>
      <c r="F1020">
        <v>7885</v>
      </c>
    </row>
    <row r="1021" spans="1:6" x14ac:dyDescent="0.25">
      <c r="A1021" s="1">
        <v>40268</v>
      </c>
      <c r="B1021">
        <v>7941</v>
      </c>
      <c r="C1021">
        <v>7970</v>
      </c>
      <c r="D1021">
        <v>7896</v>
      </c>
      <c r="E1021">
        <v>7908</v>
      </c>
      <c r="F1021">
        <v>7904</v>
      </c>
    </row>
    <row r="1022" spans="1:6" x14ac:dyDescent="0.25">
      <c r="A1022" s="1">
        <v>40269</v>
      </c>
      <c r="B1022">
        <v>7928</v>
      </c>
      <c r="C1022">
        <v>8040</v>
      </c>
      <c r="D1022">
        <v>7927</v>
      </c>
      <c r="E1022">
        <v>8024</v>
      </c>
      <c r="F1022">
        <v>7947.6</v>
      </c>
    </row>
    <row r="1023" spans="1:6" x14ac:dyDescent="0.25">
      <c r="A1023" s="1">
        <v>40270</v>
      </c>
      <c r="B1023">
        <v>8030</v>
      </c>
      <c r="C1023">
        <v>8048</v>
      </c>
      <c r="D1023">
        <v>8015</v>
      </c>
      <c r="E1023">
        <v>8038</v>
      </c>
      <c r="F1023">
        <v>7977.8</v>
      </c>
    </row>
    <row r="1024" spans="1:6" x14ac:dyDescent="0.25">
      <c r="A1024" s="1">
        <v>40274</v>
      </c>
      <c r="B1024">
        <v>8061</v>
      </c>
      <c r="C1024">
        <v>8142</v>
      </c>
      <c r="D1024">
        <v>8061</v>
      </c>
      <c r="E1024">
        <v>8095</v>
      </c>
      <c r="F1024">
        <v>8004.8</v>
      </c>
    </row>
    <row r="1025" spans="1:6" x14ac:dyDescent="0.25">
      <c r="A1025" s="1">
        <v>40275</v>
      </c>
      <c r="B1025">
        <v>8110</v>
      </c>
      <c r="C1025">
        <v>8139</v>
      </c>
      <c r="D1025">
        <v>8095</v>
      </c>
      <c r="E1025">
        <v>8125</v>
      </c>
      <c r="F1025">
        <v>8038</v>
      </c>
    </row>
    <row r="1026" spans="1:6" x14ac:dyDescent="0.25">
      <c r="A1026" s="1">
        <v>40276</v>
      </c>
      <c r="B1026">
        <v>8106</v>
      </c>
      <c r="C1026">
        <v>8174</v>
      </c>
      <c r="D1026">
        <v>8045</v>
      </c>
      <c r="E1026">
        <v>8084</v>
      </c>
      <c r="F1026">
        <v>8073.2</v>
      </c>
    </row>
    <row r="1027" spans="1:6" x14ac:dyDescent="0.25">
      <c r="A1027" s="1">
        <v>40277</v>
      </c>
      <c r="B1027">
        <v>8075</v>
      </c>
      <c r="C1027">
        <v>8106</v>
      </c>
      <c r="D1027">
        <v>8047</v>
      </c>
      <c r="E1027">
        <v>8100</v>
      </c>
      <c r="F1027">
        <v>8088.4</v>
      </c>
    </row>
    <row r="1028" spans="1:6" x14ac:dyDescent="0.25">
      <c r="A1028" s="1">
        <v>40280</v>
      </c>
      <c r="B1028">
        <v>8155</v>
      </c>
      <c r="C1028">
        <v>8170</v>
      </c>
      <c r="D1028">
        <v>8087</v>
      </c>
      <c r="E1028">
        <v>8125</v>
      </c>
      <c r="F1028">
        <v>8105.8</v>
      </c>
    </row>
    <row r="1029" spans="1:6" x14ac:dyDescent="0.25">
      <c r="A1029" s="1">
        <v>40281</v>
      </c>
      <c r="B1029">
        <v>8099</v>
      </c>
      <c r="C1029">
        <v>8120</v>
      </c>
      <c r="D1029">
        <v>8013</v>
      </c>
      <c r="E1029">
        <v>8021</v>
      </c>
      <c r="F1029">
        <v>8091</v>
      </c>
    </row>
    <row r="1030" spans="1:6" x14ac:dyDescent="0.25">
      <c r="A1030" s="1">
        <v>40282</v>
      </c>
      <c r="B1030">
        <v>8061</v>
      </c>
      <c r="C1030">
        <v>8114</v>
      </c>
      <c r="D1030">
        <v>8038</v>
      </c>
      <c r="E1030">
        <v>8113</v>
      </c>
      <c r="F1030">
        <v>8088.6</v>
      </c>
    </row>
    <row r="1031" spans="1:6" x14ac:dyDescent="0.25">
      <c r="A1031" s="1">
        <v>40283</v>
      </c>
      <c r="B1031">
        <v>8160</v>
      </c>
      <c r="C1031">
        <v>8195</v>
      </c>
      <c r="D1031">
        <v>8130</v>
      </c>
      <c r="E1031">
        <v>8160</v>
      </c>
      <c r="F1031">
        <v>8103.8</v>
      </c>
    </row>
    <row r="1032" spans="1:6" x14ac:dyDescent="0.25">
      <c r="A1032" s="1">
        <v>40284</v>
      </c>
      <c r="B1032">
        <v>8140</v>
      </c>
      <c r="C1032">
        <v>8156</v>
      </c>
      <c r="D1032">
        <v>8070</v>
      </c>
      <c r="E1032">
        <v>8103</v>
      </c>
      <c r="F1032">
        <v>8104.4</v>
      </c>
    </row>
    <row r="1033" spans="1:6" x14ac:dyDescent="0.25">
      <c r="A1033" s="1">
        <v>40287</v>
      </c>
      <c r="B1033">
        <v>8020</v>
      </c>
      <c r="C1033">
        <v>8033</v>
      </c>
      <c r="D1033">
        <v>7821</v>
      </c>
      <c r="E1033">
        <v>7821</v>
      </c>
      <c r="F1033">
        <v>8043.6</v>
      </c>
    </row>
    <row r="1034" spans="1:6" x14ac:dyDescent="0.25">
      <c r="A1034" s="1">
        <v>40288</v>
      </c>
      <c r="B1034">
        <v>7873</v>
      </c>
      <c r="C1034">
        <v>7911</v>
      </c>
      <c r="D1034">
        <v>7825</v>
      </c>
      <c r="E1034">
        <v>7876</v>
      </c>
      <c r="F1034">
        <v>8014.6</v>
      </c>
    </row>
    <row r="1035" spans="1:6" x14ac:dyDescent="0.25">
      <c r="A1035" s="1">
        <v>40289</v>
      </c>
      <c r="B1035">
        <v>7940</v>
      </c>
      <c r="C1035">
        <v>7998</v>
      </c>
      <c r="D1035">
        <v>7924</v>
      </c>
      <c r="E1035">
        <v>7980</v>
      </c>
      <c r="F1035">
        <v>7988</v>
      </c>
    </row>
    <row r="1036" spans="1:6" x14ac:dyDescent="0.25">
      <c r="A1036" s="1">
        <v>40290</v>
      </c>
      <c r="B1036">
        <v>7901</v>
      </c>
      <c r="C1036">
        <v>7952</v>
      </c>
      <c r="D1036">
        <v>7842</v>
      </c>
      <c r="E1036">
        <v>7923</v>
      </c>
      <c r="F1036">
        <v>7940.6</v>
      </c>
    </row>
    <row r="1037" spans="1:6" x14ac:dyDescent="0.25">
      <c r="A1037" s="1">
        <v>40291</v>
      </c>
      <c r="B1037">
        <v>7952</v>
      </c>
      <c r="C1037">
        <v>7983</v>
      </c>
      <c r="D1037">
        <v>7936</v>
      </c>
      <c r="E1037">
        <v>7962</v>
      </c>
      <c r="F1037">
        <v>7912.4</v>
      </c>
    </row>
    <row r="1038" spans="1:6" x14ac:dyDescent="0.25">
      <c r="A1038" s="1">
        <v>40294</v>
      </c>
      <c r="B1038">
        <v>8060</v>
      </c>
      <c r="C1038">
        <v>8162</v>
      </c>
      <c r="D1038">
        <v>8050</v>
      </c>
      <c r="E1038">
        <v>8147</v>
      </c>
      <c r="F1038">
        <v>7977.6</v>
      </c>
    </row>
    <row r="1039" spans="1:6" x14ac:dyDescent="0.25">
      <c r="A1039" s="1">
        <v>40295</v>
      </c>
      <c r="B1039">
        <v>8149</v>
      </c>
      <c r="C1039">
        <v>8152</v>
      </c>
      <c r="D1039">
        <v>8109</v>
      </c>
      <c r="E1039">
        <v>8128</v>
      </c>
      <c r="F1039">
        <v>8028</v>
      </c>
    </row>
    <row r="1040" spans="1:6" x14ac:dyDescent="0.25">
      <c r="A1040" s="1">
        <v>40296</v>
      </c>
      <c r="B1040">
        <v>7963</v>
      </c>
      <c r="C1040">
        <v>8059</v>
      </c>
      <c r="D1040">
        <v>7920</v>
      </c>
      <c r="E1040">
        <v>8036</v>
      </c>
      <c r="F1040">
        <v>8039.2</v>
      </c>
    </row>
    <row r="1041" spans="1:6" x14ac:dyDescent="0.25">
      <c r="A1041" s="1">
        <v>40297</v>
      </c>
      <c r="B1041">
        <v>8041</v>
      </c>
      <c r="C1041">
        <v>8065</v>
      </c>
      <c r="D1041">
        <v>8011</v>
      </c>
      <c r="E1041">
        <v>8044</v>
      </c>
      <c r="F1041">
        <v>8063.4</v>
      </c>
    </row>
    <row r="1042" spans="1:6" x14ac:dyDescent="0.25">
      <c r="A1042" s="1">
        <v>40298</v>
      </c>
      <c r="B1042">
        <v>8128</v>
      </c>
      <c r="C1042">
        <v>8151</v>
      </c>
      <c r="D1042">
        <v>7950</v>
      </c>
      <c r="E1042">
        <v>7988</v>
      </c>
      <c r="F1042">
        <v>8068.6</v>
      </c>
    </row>
    <row r="1043" spans="1:6" x14ac:dyDescent="0.25">
      <c r="A1043" s="1">
        <v>40301</v>
      </c>
      <c r="B1043">
        <v>7920</v>
      </c>
      <c r="C1043">
        <v>8000</v>
      </c>
      <c r="D1043">
        <v>7876</v>
      </c>
      <c r="E1043">
        <v>7934</v>
      </c>
      <c r="F1043">
        <v>8026</v>
      </c>
    </row>
    <row r="1044" spans="1:6" x14ac:dyDescent="0.25">
      <c r="A1044" s="1">
        <v>40302</v>
      </c>
      <c r="B1044">
        <v>7980</v>
      </c>
      <c r="C1044">
        <v>7981</v>
      </c>
      <c r="D1044">
        <v>7847</v>
      </c>
      <c r="E1044">
        <v>7878</v>
      </c>
      <c r="F1044">
        <v>7976</v>
      </c>
    </row>
    <row r="1045" spans="1:6" x14ac:dyDescent="0.25">
      <c r="A1045" s="1">
        <v>40303</v>
      </c>
      <c r="B1045">
        <v>7692</v>
      </c>
      <c r="C1045">
        <v>7750</v>
      </c>
      <c r="D1045">
        <v>7649</v>
      </c>
      <c r="E1045">
        <v>7657</v>
      </c>
      <c r="F1045">
        <v>7900.2</v>
      </c>
    </row>
    <row r="1046" spans="1:6" x14ac:dyDescent="0.25">
      <c r="A1046" s="1">
        <v>40304</v>
      </c>
      <c r="B1046">
        <v>7635</v>
      </c>
      <c r="C1046">
        <v>7669</v>
      </c>
      <c r="D1046">
        <v>7512</v>
      </c>
      <c r="E1046">
        <v>7582</v>
      </c>
      <c r="F1046">
        <v>7807.8</v>
      </c>
    </row>
    <row r="1047" spans="1:6" x14ac:dyDescent="0.25">
      <c r="A1047" s="1">
        <v>40305</v>
      </c>
      <c r="B1047">
        <v>7350</v>
      </c>
      <c r="C1047">
        <v>7547</v>
      </c>
      <c r="D1047">
        <v>7348</v>
      </c>
      <c r="E1047">
        <v>7505</v>
      </c>
      <c r="F1047">
        <v>7711.2</v>
      </c>
    </row>
    <row r="1048" spans="1:6" x14ac:dyDescent="0.25">
      <c r="A1048" s="1">
        <v>40308</v>
      </c>
      <c r="B1048">
        <v>7557</v>
      </c>
      <c r="C1048">
        <v>7638</v>
      </c>
      <c r="D1048">
        <v>7530</v>
      </c>
      <c r="E1048">
        <v>7638</v>
      </c>
      <c r="F1048">
        <v>7652</v>
      </c>
    </row>
    <row r="1049" spans="1:6" x14ac:dyDescent="0.25">
      <c r="A1049" s="1">
        <v>40309</v>
      </c>
      <c r="B1049">
        <v>7635</v>
      </c>
      <c r="C1049">
        <v>7697</v>
      </c>
      <c r="D1049">
        <v>7555</v>
      </c>
      <c r="E1049">
        <v>7569</v>
      </c>
      <c r="F1049">
        <v>7590.2</v>
      </c>
    </row>
    <row r="1050" spans="1:6" x14ac:dyDescent="0.25">
      <c r="A1050" s="1">
        <v>40310</v>
      </c>
      <c r="B1050">
        <v>7620</v>
      </c>
      <c r="C1050">
        <v>7658</v>
      </c>
      <c r="D1050">
        <v>7541</v>
      </c>
      <c r="E1050">
        <v>7587</v>
      </c>
      <c r="F1050">
        <v>7576.2</v>
      </c>
    </row>
    <row r="1051" spans="1:6" x14ac:dyDescent="0.25">
      <c r="A1051" s="1">
        <v>40311</v>
      </c>
      <c r="B1051">
        <v>7695</v>
      </c>
      <c r="C1051">
        <v>7777</v>
      </c>
      <c r="D1051">
        <v>7660</v>
      </c>
      <c r="E1051">
        <v>7767</v>
      </c>
      <c r="F1051">
        <v>7613.2</v>
      </c>
    </row>
    <row r="1052" spans="1:6" x14ac:dyDescent="0.25">
      <c r="A1052" s="1">
        <v>40312</v>
      </c>
      <c r="B1052">
        <v>7720</v>
      </c>
      <c r="C1052">
        <v>7767</v>
      </c>
      <c r="D1052">
        <v>7703</v>
      </c>
      <c r="E1052">
        <v>7759</v>
      </c>
      <c r="F1052">
        <v>7664</v>
      </c>
    </row>
    <row r="1053" spans="1:6" x14ac:dyDescent="0.25">
      <c r="A1053" s="1">
        <v>40315</v>
      </c>
      <c r="B1053">
        <v>7670</v>
      </c>
      <c r="C1053">
        <v>7683</v>
      </c>
      <c r="D1053">
        <v>7555</v>
      </c>
      <c r="E1053">
        <v>7601</v>
      </c>
      <c r="F1053">
        <v>7656.6</v>
      </c>
    </row>
    <row r="1054" spans="1:6" x14ac:dyDescent="0.25">
      <c r="A1054" s="1">
        <v>40316</v>
      </c>
      <c r="B1054">
        <v>7615</v>
      </c>
      <c r="C1054">
        <v>7640</v>
      </c>
      <c r="D1054">
        <v>7576</v>
      </c>
      <c r="E1054">
        <v>7619</v>
      </c>
      <c r="F1054">
        <v>7666.6</v>
      </c>
    </row>
    <row r="1055" spans="1:6" x14ac:dyDescent="0.25">
      <c r="A1055" s="1">
        <v>40317</v>
      </c>
      <c r="B1055">
        <v>7535</v>
      </c>
      <c r="C1055">
        <v>7587</v>
      </c>
      <c r="D1055">
        <v>7468</v>
      </c>
      <c r="E1055">
        <v>7574</v>
      </c>
      <c r="F1055">
        <v>7664</v>
      </c>
    </row>
    <row r="1056" spans="1:6" x14ac:dyDescent="0.25">
      <c r="A1056" s="1">
        <v>40318</v>
      </c>
      <c r="B1056">
        <v>7502</v>
      </c>
      <c r="C1056">
        <v>7514</v>
      </c>
      <c r="D1056">
        <v>7360</v>
      </c>
      <c r="E1056">
        <v>7363</v>
      </c>
      <c r="F1056">
        <v>7583.2</v>
      </c>
    </row>
    <row r="1057" spans="1:6" x14ac:dyDescent="0.25">
      <c r="A1057" s="1">
        <v>40319</v>
      </c>
      <c r="B1057">
        <v>7157</v>
      </c>
      <c r="C1057">
        <v>7247</v>
      </c>
      <c r="D1057">
        <v>7112</v>
      </c>
      <c r="E1057">
        <v>7208</v>
      </c>
      <c r="F1057">
        <v>7473</v>
      </c>
    </row>
    <row r="1058" spans="1:6" x14ac:dyDescent="0.25">
      <c r="A1058" s="1">
        <v>40322</v>
      </c>
      <c r="B1058">
        <v>7228</v>
      </c>
      <c r="C1058">
        <v>7318</v>
      </c>
      <c r="D1058">
        <v>7213</v>
      </c>
      <c r="E1058">
        <v>7271</v>
      </c>
      <c r="F1058">
        <v>7407</v>
      </c>
    </row>
    <row r="1059" spans="1:6" x14ac:dyDescent="0.25">
      <c r="A1059" s="1">
        <v>40323</v>
      </c>
      <c r="B1059">
        <v>7190</v>
      </c>
      <c r="C1059">
        <v>7193</v>
      </c>
      <c r="D1059">
        <v>7006</v>
      </c>
      <c r="E1059">
        <v>7052</v>
      </c>
      <c r="F1059">
        <v>7293.6</v>
      </c>
    </row>
    <row r="1060" spans="1:6" x14ac:dyDescent="0.25">
      <c r="A1060" s="1">
        <v>40324</v>
      </c>
      <c r="B1060">
        <v>7137</v>
      </c>
      <c r="C1060">
        <v>7153</v>
      </c>
      <c r="D1060">
        <v>7044</v>
      </c>
      <c r="E1060">
        <v>7125</v>
      </c>
      <c r="F1060">
        <v>7203.8</v>
      </c>
    </row>
    <row r="1061" spans="1:6" x14ac:dyDescent="0.25">
      <c r="A1061" s="1">
        <v>40325</v>
      </c>
      <c r="B1061">
        <v>7104</v>
      </c>
      <c r="C1061">
        <v>7234</v>
      </c>
      <c r="D1061">
        <v>7056</v>
      </c>
      <c r="E1061">
        <v>7200</v>
      </c>
      <c r="F1061">
        <v>7171.2</v>
      </c>
    </row>
    <row r="1062" spans="1:6" x14ac:dyDescent="0.25">
      <c r="A1062" s="1">
        <v>40326</v>
      </c>
      <c r="B1062">
        <v>7292</v>
      </c>
      <c r="C1062">
        <v>7328</v>
      </c>
      <c r="D1062">
        <v>7220</v>
      </c>
      <c r="E1062">
        <v>7278</v>
      </c>
      <c r="F1062">
        <v>7185.2</v>
      </c>
    </row>
    <row r="1063" spans="1:6" x14ac:dyDescent="0.25">
      <c r="A1063" s="1">
        <v>40329</v>
      </c>
      <c r="B1063">
        <v>7294</v>
      </c>
      <c r="C1063">
        <v>7334</v>
      </c>
      <c r="D1063">
        <v>7255</v>
      </c>
      <c r="E1063">
        <v>7330</v>
      </c>
      <c r="F1063">
        <v>7197</v>
      </c>
    </row>
    <row r="1064" spans="1:6" x14ac:dyDescent="0.25">
      <c r="A1064" s="1">
        <v>40330</v>
      </c>
      <c r="B1064">
        <v>7291</v>
      </c>
      <c r="C1064">
        <v>7320</v>
      </c>
      <c r="D1064">
        <v>7221</v>
      </c>
      <c r="E1064">
        <v>7240</v>
      </c>
      <c r="F1064">
        <v>7234.6</v>
      </c>
    </row>
    <row r="1065" spans="1:6" x14ac:dyDescent="0.25">
      <c r="A1065" s="1">
        <v>40331</v>
      </c>
      <c r="B1065">
        <v>7197</v>
      </c>
      <c r="C1065">
        <v>7280</v>
      </c>
      <c r="D1065">
        <v>7102</v>
      </c>
      <c r="E1065">
        <v>7138</v>
      </c>
      <c r="F1065">
        <v>7237.2</v>
      </c>
    </row>
    <row r="1066" spans="1:6" x14ac:dyDescent="0.25">
      <c r="A1066" s="1">
        <v>40332</v>
      </c>
      <c r="B1066">
        <v>7250</v>
      </c>
      <c r="C1066">
        <v>7342</v>
      </c>
      <c r="D1066">
        <v>7250</v>
      </c>
      <c r="E1066">
        <v>7339</v>
      </c>
      <c r="F1066">
        <v>7265</v>
      </c>
    </row>
    <row r="1067" spans="1:6" x14ac:dyDescent="0.25">
      <c r="A1067" s="1">
        <v>40333</v>
      </c>
      <c r="B1067">
        <v>7342</v>
      </c>
      <c r="C1067">
        <v>7349</v>
      </c>
      <c r="D1067">
        <v>7306</v>
      </c>
      <c r="E1067">
        <v>7319</v>
      </c>
      <c r="F1067">
        <v>7273.2</v>
      </c>
    </row>
    <row r="1068" spans="1:6" x14ac:dyDescent="0.25">
      <c r="A1068" s="1">
        <v>40336</v>
      </c>
      <c r="B1068">
        <v>7107</v>
      </c>
      <c r="C1068">
        <v>7126</v>
      </c>
      <c r="D1068">
        <v>7035</v>
      </c>
      <c r="E1068">
        <v>7096</v>
      </c>
      <c r="F1068">
        <v>7226.4</v>
      </c>
    </row>
    <row r="1069" spans="1:6" x14ac:dyDescent="0.25">
      <c r="A1069" s="1">
        <v>40337</v>
      </c>
      <c r="B1069">
        <v>7097</v>
      </c>
      <c r="C1069">
        <v>7139</v>
      </c>
      <c r="D1069">
        <v>7075</v>
      </c>
      <c r="E1069">
        <v>7129</v>
      </c>
      <c r="F1069">
        <v>7204.2</v>
      </c>
    </row>
    <row r="1070" spans="1:6" x14ac:dyDescent="0.25">
      <c r="A1070" s="1">
        <v>40338</v>
      </c>
      <c r="B1070">
        <v>7081</v>
      </c>
      <c r="C1070">
        <v>7139</v>
      </c>
      <c r="D1070">
        <v>6989</v>
      </c>
      <c r="E1070">
        <v>7037</v>
      </c>
      <c r="F1070">
        <v>7184</v>
      </c>
    </row>
    <row r="1071" spans="1:6" x14ac:dyDescent="0.25">
      <c r="A1071" s="1">
        <v>40339</v>
      </c>
      <c r="B1071">
        <v>7055</v>
      </c>
      <c r="C1071">
        <v>7165</v>
      </c>
      <c r="D1071">
        <v>7037</v>
      </c>
      <c r="E1071">
        <v>7163</v>
      </c>
      <c r="F1071">
        <v>7148.8</v>
      </c>
    </row>
    <row r="1072" spans="1:6" x14ac:dyDescent="0.25">
      <c r="A1072" s="1">
        <v>40340</v>
      </c>
      <c r="B1072">
        <v>7290</v>
      </c>
      <c r="C1072">
        <v>7306</v>
      </c>
      <c r="D1072">
        <v>7244</v>
      </c>
      <c r="E1072">
        <v>7294</v>
      </c>
      <c r="F1072">
        <v>7143.8</v>
      </c>
    </row>
    <row r="1073" spans="1:6" x14ac:dyDescent="0.25">
      <c r="A1073" s="1">
        <v>40343</v>
      </c>
      <c r="B1073">
        <v>7370</v>
      </c>
      <c r="C1073">
        <v>7395</v>
      </c>
      <c r="D1073">
        <v>7337</v>
      </c>
      <c r="E1073">
        <v>7382</v>
      </c>
      <c r="F1073">
        <v>7201</v>
      </c>
    </row>
    <row r="1074" spans="1:6" x14ac:dyDescent="0.25">
      <c r="A1074" s="1">
        <v>40344</v>
      </c>
      <c r="B1074">
        <v>7388</v>
      </c>
      <c r="C1074">
        <v>7498</v>
      </c>
      <c r="D1074">
        <v>7363</v>
      </c>
      <c r="E1074">
        <v>7459</v>
      </c>
      <c r="F1074">
        <v>7267</v>
      </c>
    </row>
    <row r="1075" spans="1:6" x14ac:dyDescent="0.25">
      <c r="A1075" s="1">
        <v>40346</v>
      </c>
      <c r="B1075">
        <v>7509</v>
      </c>
      <c r="C1075">
        <v>7537</v>
      </c>
      <c r="D1075">
        <v>7479</v>
      </c>
      <c r="E1075">
        <v>7521</v>
      </c>
      <c r="F1075">
        <v>7363.8</v>
      </c>
    </row>
    <row r="1076" spans="1:6" x14ac:dyDescent="0.25">
      <c r="A1076" s="1">
        <v>40347</v>
      </c>
      <c r="B1076">
        <v>7363</v>
      </c>
      <c r="C1076">
        <v>7388</v>
      </c>
      <c r="D1076">
        <v>7298</v>
      </c>
      <c r="E1076">
        <v>7350</v>
      </c>
      <c r="F1076">
        <v>7401.2</v>
      </c>
    </row>
    <row r="1077" spans="1:6" x14ac:dyDescent="0.25">
      <c r="A1077" s="1">
        <v>40350</v>
      </c>
      <c r="B1077">
        <v>7446</v>
      </c>
      <c r="C1077">
        <v>7525</v>
      </c>
      <c r="D1077">
        <v>7408</v>
      </c>
      <c r="E1077">
        <v>7525</v>
      </c>
      <c r="F1077">
        <v>7447.4</v>
      </c>
    </row>
    <row r="1078" spans="1:6" x14ac:dyDescent="0.25">
      <c r="A1078" s="1">
        <v>40351</v>
      </c>
      <c r="B1078">
        <v>7480</v>
      </c>
      <c r="C1078">
        <v>7507</v>
      </c>
      <c r="D1078">
        <v>7468</v>
      </c>
      <c r="E1078">
        <v>7482</v>
      </c>
      <c r="F1078">
        <v>7467.4</v>
      </c>
    </row>
    <row r="1079" spans="1:6" x14ac:dyDescent="0.25">
      <c r="A1079" s="1">
        <v>40352</v>
      </c>
      <c r="B1079">
        <v>7430</v>
      </c>
      <c r="C1079">
        <v>7477</v>
      </c>
      <c r="D1079">
        <v>7389</v>
      </c>
      <c r="E1079">
        <v>7438</v>
      </c>
      <c r="F1079">
        <v>7463.2</v>
      </c>
    </row>
    <row r="1080" spans="1:6" x14ac:dyDescent="0.25">
      <c r="A1080" s="1">
        <v>40353</v>
      </c>
      <c r="B1080">
        <v>7438</v>
      </c>
      <c r="C1080">
        <v>7455</v>
      </c>
      <c r="D1080">
        <v>7398</v>
      </c>
      <c r="E1080">
        <v>7429</v>
      </c>
      <c r="F1080">
        <v>7444.8</v>
      </c>
    </row>
    <row r="1081" spans="1:6" x14ac:dyDescent="0.25">
      <c r="A1081" s="1">
        <v>40354</v>
      </c>
      <c r="B1081">
        <v>7341</v>
      </c>
      <c r="C1081">
        <v>7385</v>
      </c>
      <c r="D1081">
        <v>7302</v>
      </c>
      <c r="E1081">
        <v>7320</v>
      </c>
      <c r="F1081">
        <v>7438.8</v>
      </c>
    </row>
    <row r="1082" spans="1:6" x14ac:dyDescent="0.25">
      <c r="A1082" s="1">
        <v>40357</v>
      </c>
      <c r="B1082">
        <v>7327</v>
      </c>
      <c r="C1082">
        <v>7374</v>
      </c>
      <c r="D1082">
        <v>7326</v>
      </c>
      <c r="E1082">
        <v>7366</v>
      </c>
      <c r="F1082">
        <v>7407</v>
      </c>
    </row>
    <row r="1083" spans="1:6" x14ac:dyDescent="0.25">
      <c r="A1083" s="1">
        <v>40358</v>
      </c>
      <c r="B1083">
        <v>7395</v>
      </c>
      <c r="C1083">
        <v>7454</v>
      </c>
      <c r="D1083">
        <v>7251</v>
      </c>
      <c r="E1083">
        <v>7253</v>
      </c>
      <c r="F1083">
        <v>7361.2</v>
      </c>
    </row>
    <row r="1084" spans="1:6" x14ac:dyDescent="0.25">
      <c r="A1084" s="1">
        <v>40359</v>
      </c>
      <c r="B1084">
        <v>7120</v>
      </c>
      <c r="C1084">
        <v>7168</v>
      </c>
      <c r="D1084">
        <v>7093</v>
      </c>
      <c r="E1084">
        <v>7157</v>
      </c>
      <c r="F1084">
        <v>7305</v>
      </c>
    </row>
    <row r="1085" spans="1:6" x14ac:dyDescent="0.25">
      <c r="A1085" s="1">
        <v>40360</v>
      </c>
      <c r="B1085">
        <v>7124</v>
      </c>
      <c r="C1085">
        <v>7147</v>
      </c>
      <c r="D1085">
        <v>7062</v>
      </c>
      <c r="E1085">
        <v>7105</v>
      </c>
      <c r="F1085">
        <v>7240.2</v>
      </c>
    </row>
    <row r="1086" spans="1:6" x14ac:dyDescent="0.25">
      <c r="A1086" s="1">
        <v>40361</v>
      </c>
      <c r="B1086">
        <v>7132</v>
      </c>
      <c r="C1086">
        <v>7216</v>
      </c>
      <c r="D1086">
        <v>7116</v>
      </c>
      <c r="E1086">
        <v>7163</v>
      </c>
      <c r="F1086">
        <v>7208.8</v>
      </c>
    </row>
    <row r="1087" spans="1:6" x14ac:dyDescent="0.25">
      <c r="A1087" s="1">
        <v>40364</v>
      </c>
      <c r="B1087">
        <v>7185</v>
      </c>
      <c r="C1087">
        <v>7325</v>
      </c>
      <c r="D1087">
        <v>7169</v>
      </c>
      <c r="E1087">
        <v>7324</v>
      </c>
      <c r="F1087">
        <v>7200.4</v>
      </c>
    </row>
    <row r="1088" spans="1:6" x14ac:dyDescent="0.25">
      <c r="A1088" s="1">
        <v>40365</v>
      </c>
      <c r="B1088">
        <v>7258</v>
      </c>
      <c r="C1088">
        <v>7458</v>
      </c>
      <c r="D1088">
        <v>7246</v>
      </c>
      <c r="E1088">
        <v>7457</v>
      </c>
      <c r="F1088">
        <v>7241.2</v>
      </c>
    </row>
    <row r="1089" spans="1:6" x14ac:dyDescent="0.25">
      <c r="A1089" s="1">
        <v>40366</v>
      </c>
      <c r="B1089">
        <v>7450</v>
      </c>
      <c r="C1089">
        <v>7456</v>
      </c>
      <c r="D1089">
        <v>7405</v>
      </c>
      <c r="E1089">
        <v>7450</v>
      </c>
      <c r="F1089">
        <v>7299.8</v>
      </c>
    </row>
    <row r="1090" spans="1:6" x14ac:dyDescent="0.25">
      <c r="A1090" s="1">
        <v>40367</v>
      </c>
      <c r="B1090">
        <v>7568</v>
      </c>
      <c r="C1090">
        <v>7574</v>
      </c>
      <c r="D1090">
        <v>7500</v>
      </c>
      <c r="E1090">
        <v>7532</v>
      </c>
      <c r="F1090">
        <v>7385.2</v>
      </c>
    </row>
    <row r="1091" spans="1:6" x14ac:dyDescent="0.25">
      <c r="A1091" s="1">
        <v>40368</v>
      </c>
      <c r="B1091">
        <v>7542</v>
      </c>
      <c r="C1091">
        <v>7582</v>
      </c>
      <c r="D1091">
        <v>7521</v>
      </c>
      <c r="E1091">
        <v>7563</v>
      </c>
      <c r="F1091">
        <v>7465.2</v>
      </c>
    </row>
    <row r="1092" spans="1:6" x14ac:dyDescent="0.25">
      <c r="A1092" s="1">
        <v>40371</v>
      </c>
      <c r="B1092">
        <v>7585</v>
      </c>
      <c r="C1092">
        <v>7655</v>
      </c>
      <c r="D1092">
        <v>7528</v>
      </c>
      <c r="E1092">
        <v>7529</v>
      </c>
      <c r="F1092">
        <v>7506.2</v>
      </c>
    </row>
    <row r="1093" spans="1:6" x14ac:dyDescent="0.25">
      <c r="A1093" s="1">
        <v>40372</v>
      </c>
      <c r="B1093">
        <v>7575</v>
      </c>
      <c r="C1093">
        <v>7603</v>
      </c>
      <c r="D1093">
        <v>7518</v>
      </c>
      <c r="E1093">
        <v>7559</v>
      </c>
      <c r="F1093">
        <v>7526.6</v>
      </c>
    </row>
    <row r="1094" spans="1:6" x14ac:dyDescent="0.25">
      <c r="A1094" s="1">
        <v>40373</v>
      </c>
      <c r="B1094">
        <v>7655</v>
      </c>
      <c r="C1094">
        <v>7702</v>
      </c>
      <c r="D1094">
        <v>7645</v>
      </c>
      <c r="E1094">
        <v>7702</v>
      </c>
      <c r="F1094">
        <v>7577</v>
      </c>
    </row>
    <row r="1095" spans="1:6" x14ac:dyDescent="0.25">
      <c r="A1095" s="1">
        <v>40374</v>
      </c>
      <c r="B1095">
        <v>7676</v>
      </c>
      <c r="C1095">
        <v>7728</v>
      </c>
      <c r="D1095">
        <v>7668</v>
      </c>
      <c r="E1095">
        <v>7707</v>
      </c>
      <c r="F1095">
        <v>7612</v>
      </c>
    </row>
    <row r="1096" spans="1:6" x14ac:dyDescent="0.25">
      <c r="A1096" s="1">
        <v>40375</v>
      </c>
      <c r="B1096">
        <v>7703</v>
      </c>
      <c r="C1096">
        <v>7715</v>
      </c>
      <c r="D1096">
        <v>7636</v>
      </c>
      <c r="E1096">
        <v>7672</v>
      </c>
      <c r="F1096">
        <v>7633.8</v>
      </c>
    </row>
    <row r="1097" spans="1:6" x14ac:dyDescent="0.25">
      <c r="A1097" s="1">
        <v>40378</v>
      </c>
      <c r="B1097">
        <v>7599</v>
      </c>
      <c r="C1097">
        <v>7672</v>
      </c>
      <c r="D1097">
        <v>7590</v>
      </c>
      <c r="E1097">
        <v>7658</v>
      </c>
      <c r="F1097">
        <v>7659.6</v>
      </c>
    </row>
    <row r="1098" spans="1:6" x14ac:dyDescent="0.25">
      <c r="A1098" s="1">
        <v>40379</v>
      </c>
      <c r="B1098">
        <v>7655</v>
      </c>
      <c r="C1098">
        <v>7747</v>
      </c>
      <c r="D1098">
        <v>7635</v>
      </c>
      <c r="E1098">
        <v>7711</v>
      </c>
      <c r="F1098">
        <v>7690</v>
      </c>
    </row>
    <row r="1099" spans="1:6" x14ac:dyDescent="0.25">
      <c r="A1099" s="1">
        <v>40380</v>
      </c>
      <c r="B1099">
        <v>7755</v>
      </c>
      <c r="C1099">
        <v>7757</v>
      </c>
      <c r="D1099">
        <v>7682</v>
      </c>
      <c r="E1099">
        <v>7688</v>
      </c>
      <c r="F1099">
        <v>7687.2</v>
      </c>
    </row>
    <row r="1100" spans="1:6" x14ac:dyDescent="0.25">
      <c r="A1100" s="1">
        <v>40381</v>
      </c>
      <c r="B1100">
        <v>7586</v>
      </c>
      <c r="C1100">
        <v>7615</v>
      </c>
      <c r="D1100">
        <v>7536</v>
      </c>
      <c r="E1100">
        <v>7560</v>
      </c>
      <c r="F1100">
        <v>7657.8</v>
      </c>
    </row>
    <row r="1101" spans="1:6" x14ac:dyDescent="0.25">
      <c r="A1101" s="1">
        <v>40382</v>
      </c>
      <c r="B1101">
        <v>7640</v>
      </c>
      <c r="C1101">
        <v>7702</v>
      </c>
      <c r="D1101">
        <v>7635</v>
      </c>
      <c r="E1101">
        <v>7680</v>
      </c>
      <c r="F1101">
        <v>7659.4</v>
      </c>
    </row>
    <row r="1102" spans="1:6" x14ac:dyDescent="0.25">
      <c r="A1102" s="1">
        <v>40385</v>
      </c>
      <c r="B1102">
        <v>7716</v>
      </c>
      <c r="C1102">
        <v>7728</v>
      </c>
      <c r="D1102">
        <v>7682</v>
      </c>
      <c r="E1102">
        <v>7708</v>
      </c>
      <c r="F1102">
        <v>7669.4</v>
      </c>
    </row>
    <row r="1103" spans="1:6" x14ac:dyDescent="0.25">
      <c r="A1103" s="1">
        <v>40386</v>
      </c>
      <c r="B1103">
        <v>7726</v>
      </c>
      <c r="C1103">
        <v>7732</v>
      </c>
      <c r="D1103">
        <v>7642</v>
      </c>
      <c r="E1103">
        <v>7659</v>
      </c>
      <c r="F1103">
        <v>7659</v>
      </c>
    </row>
    <row r="1104" spans="1:6" x14ac:dyDescent="0.25">
      <c r="A1104" s="1">
        <v>40387</v>
      </c>
      <c r="B1104">
        <v>7672</v>
      </c>
      <c r="C1104">
        <v>7733</v>
      </c>
      <c r="D1104">
        <v>7634</v>
      </c>
      <c r="E1104">
        <v>7721</v>
      </c>
      <c r="F1104">
        <v>7665.6</v>
      </c>
    </row>
    <row r="1105" spans="1:6" x14ac:dyDescent="0.25">
      <c r="A1105" s="1">
        <v>40388</v>
      </c>
      <c r="B1105">
        <v>7720</v>
      </c>
      <c r="C1105">
        <v>7731</v>
      </c>
      <c r="D1105">
        <v>7668</v>
      </c>
      <c r="E1105">
        <v>7709</v>
      </c>
      <c r="F1105">
        <v>7695.4</v>
      </c>
    </row>
    <row r="1106" spans="1:6" x14ac:dyDescent="0.25">
      <c r="A1106" s="1">
        <v>40389</v>
      </c>
      <c r="B1106">
        <v>7685</v>
      </c>
      <c r="C1106">
        <v>7699</v>
      </c>
      <c r="D1106">
        <v>7638</v>
      </c>
      <c r="E1106">
        <v>7682</v>
      </c>
      <c r="F1106">
        <v>7695.8</v>
      </c>
    </row>
    <row r="1107" spans="1:6" x14ac:dyDescent="0.25">
      <c r="A1107" s="1">
        <v>40392</v>
      </c>
      <c r="B1107">
        <v>7750</v>
      </c>
      <c r="C1107">
        <v>7878</v>
      </c>
      <c r="D1107">
        <v>7740</v>
      </c>
      <c r="E1107">
        <v>7869</v>
      </c>
      <c r="F1107">
        <v>7728</v>
      </c>
    </row>
    <row r="1108" spans="1:6" x14ac:dyDescent="0.25">
      <c r="A1108" s="1">
        <v>40393</v>
      </c>
      <c r="B1108">
        <v>7917</v>
      </c>
      <c r="C1108">
        <v>7917</v>
      </c>
      <c r="D1108">
        <v>7868</v>
      </c>
      <c r="E1108">
        <v>7914</v>
      </c>
      <c r="F1108">
        <v>7779</v>
      </c>
    </row>
    <row r="1109" spans="1:6" x14ac:dyDescent="0.25">
      <c r="A1109" s="1">
        <v>40394</v>
      </c>
      <c r="B1109">
        <v>7885</v>
      </c>
      <c r="C1109">
        <v>7928</v>
      </c>
      <c r="D1109">
        <v>7872</v>
      </c>
      <c r="E1109">
        <v>7910</v>
      </c>
      <c r="F1109">
        <v>7816.8</v>
      </c>
    </row>
    <row r="1110" spans="1:6" x14ac:dyDescent="0.25">
      <c r="A1110" s="1">
        <v>40395</v>
      </c>
      <c r="B1110">
        <v>7938</v>
      </c>
      <c r="C1110">
        <v>7961</v>
      </c>
      <c r="D1110">
        <v>7876</v>
      </c>
      <c r="E1110">
        <v>7913</v>
      </c>
      <c r="F1110">
        <v>7857.6</v>
      </c>
    </row>
    <row r="1111" spans="1:6" x14ac:dyDescent="0.25">
      <c r="A1111" s="1">
        <v>40396</v>
      </c>
      <c r="B1111">
        <v>7894</v>
      </c>
      <c r="C1111">
        <v>7932</v>
      </c>
      <c r="D1111">
        <v>7880</v>
      </c>
      <c r="E1111">
        <v>7930</v>
      </c>
      <c r="F1111">
        <v>7907.2</v>
      </c>
    </row>
    <row r="1112" spans="1:6" x14ac:dyDescent="0.25">
      <c r="A1112" s="1">
        <v>40399</v>
      </c>
      <c r="B1112">
        <v>7917</v>
      </c>
      <c r="C1112">
        <v>8000</v>
      </c>
      <c r="D1112">
        <v>7911</v>
      </c>
      <c r="E1112">
        <v>7985</v>
      </c>
      <c r="F1112">
        <v>7930.4</v>
      </c>
    </row>
    <row r="1113" spans="1:6" x14ac:dyDescent="0.25">
      <c r="A1113" s="1">
        <v>40400</v>
      </c>
      <c r="B1113">
        <v>8001</v>
      </c>
      <c r="C1113">
        <v>8001</v>
      </c>
      <c r="D1113">
        <v>7933</v>
      </c>
      <c r="E1113">
        <v>7935</v>
      </c>
      <c r="F1113">
        <v>7934.6</v>
      </c>
    </row>
    <row r="1114" spans="1:6" x14ac:dyDescent="0.25">
      <c r="A1114" s="1">
        <v>40401</v>
      </c>
      <c r="B1114">
        <v>7885</v>
      </c>
      <c r="C1114">
        <v>7930</v>
      </c>
      <c r="D1114">
        <v>7833</v>
      </c>
      <c r="E1114">
        <v>7852</v>
      </c>
      <c r="F1114">
        <v>7923</v>
      </c>
    </row>
    <row r="1115" spans="1:6" x14ac:dyDescent="0.25">
      <c r="A1115" s="1">
        <v>40402</v>
      </c>
      <c r="B1115">
        <v>7782</v>
      </c>
      <c r="C1115">
        <v>7824</v>
      </c>
      <c r="D1115">
        <v>7765</v>
      </c>
      <c r="E1115">
        <v>7804</v>
      </c>
      <c r="F1115">
        <v>7901.2</v>
      </c>
    </row>
    <row r="1116" spans="1:6" x14ac:dyDescent="0.25">
      <c r="A1116" s="1">
        <v>40403</v>
      </c>
      <c r="B1116">
        <v>7813</v>
      </c>
      <c r="C1116">
        <v>7925</v>
      </c>
      <c r="D1116">
        <v>7804</v>
      </c>
      <c r="E1116">
        <v>7915</v>
      </c>
      <c r="F1116">
        <v>7898.2</v>
      </c>
    </row>
    <row r="1117" spans="1:6" x14ac:dyDescent="0.25">
      <c r="A1117" s="1">
        <v>40406</v>
      </c>
      <c r="B1117">
        <v>7858</v>
      </c>
      <c r="C1117">
        <v>7956</v>
      </c>
      <c r="D1117">
        <v>7831</v>
      </c>
      <c r="E1117">
        <v>7948</v>
      </c>
      <c r="F1117">
        <v>7890.8</v>
      </c>
    </row>
    <row r="1118" spans="1:6" x14ac:dyDescent="0.25">
      <c r="A1118" s="1">
        <v>40407</v>
      </c>
      <c r="B1118">
        <v>7933</v>
      </c>
      <c r="C1118">
        <v>7965</v>
      </c>
      <c r="D1118">
        <v>7925</v>
      </c>
      <c r="E1118">
        <v>7942</v>
      </c>
      <c r="F1118">
        <v>7892.2</v>
      </c>
    </row>
    <row r="1119" spans="1:6" x14ac:dyDescent="0.25">
      <c r="A1119" s="1">
        <v>40408</v>
      </c>
      <c r="B1119">
        <v>7957</v>
      </c>
      <c r="C1119">
        <v>7972</v>
      </c>
      <c r="D1119">
        <v>7901</v>
      </c>
      <c r="E1119">
        <v>7919</v>
      </c>
      <c r="F1119">
        <v>7905.6</v>
      </c>
    </row>
    <row r="1120" spans="1:6" x14ac:dyDescent="0.25">
      <c r="A1120" s="1">
        <v>40409</v>
      </c>
      <c r="B1120">
        <v>7900</v>
      </c>
      <c r="C1120">
        <v>7922</v>
      </c>
      <c r="D1120">
        <v>7848</v>
      </c>
      <c r="E1120">
        <v>7920</v>
      </c>
      <c r="F1120">
        <v>7928.8</v>
      </c>
    </row>
    <row r="1121" spans="1:6" x14ac:dyDescent="0.25">
      <c r="A1121" s="1">
        <v>40410</v>
      </c>
      <c r="B1121">
        <v>7882</v>
      </c>
      <c r="C1121">
        <v>7900</v>
      </c>
      <c r="D1121">
        <v>7860</v>
      </c>
      <c r="E1121">
        <v>7887</v>
      </c>
      <c r="F1121">
        <v>7923.2</v>
      </c>
    </row>
    <row r="1122" spans="1:6" x14ac:dyDescent="0.25">
      <c r="A1122" s="1">
        <v>40413</v>
      </c>
      <c r="B1122">
        <v>7881</v>
      </c>
      <c r="C1122">
        <v>8003</v>
      </c>
      <c r="D1122">
        <v>7873</v>
      </c>
      <c r="E1122">
        <v>7951</v>
      </c>
      <c r="F1122">
        <v>7923.8</v>
      </c>
    </row>
    <row r="1123" spans="1:6" x14ac:dyDescent="0.25">
      <c r="A1123" s="1">
        <v>40414</v>
      </c>
      <c r="B1123">
        <v>7920</v>
      </c>
      <c r="C1123">
        <v>7955</v>
      </c>
      <c r="D1123">
        <v>7884</v>
      </c>
      <c r="E1123">
        <v>7885</v>
      </c>
      <c r="F1123">
        <v>7912.4</v>
      </c>
    </row>
    <row r="1124" spans="1:6" x14ac:dyDescent="0.25">
      <c r="A1124" s="1">
        <v>40415</v>
      </c>
      <c r="B1124">
        <v>7844</v>
      </c>
      <c r="C1124">
        <v>7845</v>
      </c>
      <c r="D1124">
        <v>7673</v>
      </c>
      <c r="E1124">
        <v>7679</v>
      </c>
      <c r="F1124">
        <v>7864.4</v>
      </c>
    </row>
    <row r="1125" spans="1:6" x14ac:dyDescent="0.25">
      <c r="A1125" s="1">
        <v>40416</v>
      </c>
      <c r="B1125">
        <v>7676</v>
      </c>
      <c r="C1125">
        <v>7697</v>
      </c>
      <c r="D1125">
        <v>7620</v>
      </c>
      <c r="E1125">
        <v>7621</v>
      </c>
      <c r="F1125">
        <v>7804.6</v>
      </c>
    </row>
    <row r="1126" spans="1:6" x14ac:dyDescent="0.25">
      <c r="A1126" s="1">
        <v>40417</v>
      </c>
      <c r="B1126">
        <v>7605</v>
      </c>
      <c r="C1126">
        <v>7677</v>
      </c>
      <c r="D1126">
        <v>7605</v>
      </c>
      <c r="E1126">
        <v>7660</v>
      </c>
      <c r="F1126">
        <v>7759.2</v>
      </c>
    </row>
    <row r="1127" spans="1:6" x14ac:dyDescent="0.25">
      <c r="A1127" s="1">
        <v>40420</v>
      </c>
      <c r="B1127">
        <v>7736</v>
      </c>
      <c r="C1127">
        <v>7794</v>
      </c>
      <c r="D1127">
        <v>7688</v>
      </c>
      <c r="E1127">
        <v>7717</v>
      </c>
      <c r="F1127">
        <v>7712.4</v>
      </c>
    </row>
    <row r="1128" spans="1:6" x14ac:dyDescent="0.25">
      <c r="A1128" s="1">
        <v>40421</v>
      </c>
      <c r="B1128">
        <v>7663</v>
      </c>
      <c r="C1128">
        <v>7664</v>
      </c>
      <c r="D1128">
        <v>7536</v>
      </c>
      <c r="E1128">
        <v>7557</v>
      </c>
      <c r="F1128">
        <v>7646.8</v>
      </c>
    </row>
    <row r="1129" spans="1:6" x14ac:dyDescent="0.25">
      <c r="A1129" s="1">
        <v>40422</v>
      </c>
      <c r="B1129">
        <v>7570</v>
      </c>
      <c r="C1129">
        <v>7638</v>
      </c>
      <c r="D1129">
        <v>7569</v>
      </c>
      <c r="E1129">
        <v>7630</v>
      </c>
      <c r="F1129">
        <v>7637</v>
      </c>
    </row>
    <row r="1130" spans="1:6" x14ac:dyDescent="0.25">
      <c r="A1130" s="1">
        <v>40423</v>
      </c>
      <c r="B1130">
        <v>7708</v>
      </c>
      <c r="C1130">
        <v>7744</v>
      </c>
      <c r="D1130">
        <v>7665</v>
      </c>
      <c r="E1130">
        <v>7691</v>
      </c>
      <c r="F1130">
        <v>7651</v>
      </c>
    </row>
    <row r="1131" spans="1:6" x14ac:dyDescent="0.25">
      <c r="A1131" s="1">
        <v>40424</v>
      </c>
      <c r="B1131">
        <v>7723</v>
      </c>
      <c r="C1131">
        <v>7786</v>
      </c>
      <c r="D1131">
        <v>7712</v>
      </c>
      <c r="E1131">
        <v>7780</v>
      </c>
      <c r="F1131">
        <v>7675</v>
      </c>
    </row>
    <row r="1132" spans="1:6" x14ac:dyDescent="0.25">
      <c r="A1132" s="1">
        <v>40427</v>
      </c>
      <c r="B1132">
        <v>7833</v>
      </c>
      <c r="C1132">
        <v>7878</v>
      </c>
      <c r="D1132">
        <v>7818</v>
      </c>
      <c r="E1132">
        <v>7863</v>
      </c>
      <c r="F1132">
        <v>7704.2</v>
      </c>
    </row>
    <row r="1133" spans="1:6" x14ac:dyDescent="0.25">
      <c r="A1133" s="1">
        <v>40428</v>
      </c>
      <c r="B1133">
        <v>7863</v>
      </c>
      <c r="C1133">
        <v>7873</v>
      </c>
      <c r="D1133">
        <v>7843</v>
      </c>
      <c r="E1133">
        <v>7855</v>
      </c>
      <c r="F1133">
        <v>7763.8</v>
      </c>
    </row>
    <row r="1134" spans="1:6" x14ac:dyDescent="0.25">
      <c r="A1134" s="1">
        <v>40429</v>
      </c>
      <c r="B1134">
        <v>7820</v>
      </c>
      <c r="C1134">
        <v>7868</v>
      </c>
      <c r="D1134">
        <v>7790</v>
      </c>
      <c r="E1134">
        <v>7851</v>
      </c>
      <c r="F1134">
        <v>7808</v>
      </c>
    </row>
    <row r="1135" spans="1:6" x14ac:dyDescent="0.25">
      <c r="A1135" s="1">
        <v>40430</v>
      </c>
      <c r="B1135">
        <v>7877</v>
      </c>
      <c r="C1135">
        <v>7890</v>
      </c>
      <c r="D1135">
        <v>7806</v>
      </c>
      <c r="E1135">
        <v>7832</v>
      </c>
      <c r="F1135">
        <v>7836.2</v>
      </c>
    </row>
    <row r="1136" spans="1:6" x14ac:dyDescent="0.25">
      <c r="A1136" s="1">
        <v>40431</v>
      </c>
      <c r="B1136">
        <v>7889</v>
      </c>
      <c r="C1136">
        <v>7908</v>
      </c>
      <c r="D1136">
        <v>7849</v>
      </c>
      <c r="E1136">
        <v>7899</v>
      </c>
      <c r="F1136">
        <v>7860</v>
      </c>
    </row>
    <row r="1137" spans="1:6" x14ac:dyDescent="0.25">
      <c r="A1137" s="1">
        <v>40434</v>
      </c>
      <c r="B1137">
        <v>7950</v>
      </c>
      <c r="C1137">
        <v>8112</v>
      </c>
      <c r="D1137">
        <v>7933</v>
      </c>
      <c r="E1137">
        <v>8108</v>
      </c>
      <c r="F1137">
        <v>7909</v>
      </c>
    </row>
    <row r="1138" spans="1:6" x14ac:dyDescent="0.25">
      <c r="A1138" s="1">
        <v>40435</v>
      </c>
      <c r="B1138">
        <v>8120</v>
      </c>
      <c r="C1138">
        <v>8135</v>
      </c>
      <c r="D1138">
        <v>8087</v>
      </c>
      <c r="E1138">
        <v>8120</v>
      </c>
      <c r="F1138">
        <v>7962</v>
      </c>
    </row>
    <row r="1139" spans="1:6" x14ac:dyDescent="0.25">
      <c r="A1139" s="1">
        <v>40436</v>
      </c>
      <c r="B1139">
        <v>8151</v>
      </c>
      <c r="C1139">
        <v>8158</v>
      </c>
      <c r="D1139">
        <v>8112</v>
      </c>
      <c r="E1139">
        <v>8154</v>
      </c>
      <c r="F1139">
        <v>8022.6</v>
      </c>
    </row>
    <row r="1140" spans="1:6" x14ac:dyDescent="0.25">
      <c r="A1140" s="1">
        <v>40437</v>
      </c>
      <c r="B1140">
        <v>8154</v>
      </c>
      <c r="C1140">
        <v>8164</v>
      </c>
      <c r="D1140">
        <v>8062</v>
      </c>
      <c r="E1140">
        <v>8072</v>
      </c>
      <c r="F1140">
        <v>8070.6</v>
      </c>
    </row>
    <row r="1141" spans="1:6" x14ac:dyDescent="0.25">
      <c r="A1141" s="1">
        <v>40438</v>
      </c>
      <c r="B1141">
        <v>8098</v>
      </c>
      <c r="C1141">
        <v>8209</v>
      </c>
      <c r="D1141">
        <v>8098</v>
      </c>
      <c r="E1141">
        <v>8170</v>
      </c>
      <c r="F1141">
        <v>8124.8</v>
      </c>
    </row>
    <row r="1142" spans="1:6" x14ac:dyDescent="0.25">
      <c r="A1142" s="1">
        <v>40441</v>
      </c>
      <c r="B1142">
        <v>8143</v>
      </c>
      <c r="C1142">
        <v>8195</v>
      </c>
      <c r="D1142">
        <v>8135</v>
      </c>
      <c r="E1142">
        <v>8179</v>
      </c>
      <c r="F1142">
        <v>8139</v>
      </c>
    </row>
    <row r="1143" spans="1:6" x14ac:dyDescent="0.25">
      <c r="A1143" s="1">
        <v>40442</v>
      </c>
      <c r="B1143">
        <v>8236</v>
      </c>
      <c r="C1143">
        <v>8248</v>
      </c>
      <c r="D1143">
        <v>8155</v>
      </c>
      <c r="E1143">
        <v>8190</v>
      </c>
      <c r="F1143">
        <v>8153</v>
      </c>
    </row>
    <row r="1144" spans="1:6" x14ac:dyDescent="0.25">
      <c r="A1144" s="1">
        <v>40444</v>
      </c>
      <c r="B1144">
        <v>8180</v>
      </c>
      <c r="C1144">
        <v>8233</v>
      </c>
      <c r="D1144">
        <v>8148</v>
      </c>
      <c r="E1144">
        <v>8202</v>
      </c>
      <c r="F1144">
        <v>8162.6</v>
      </c>
    </row>
    <row r="1145" spans="1:6" x14ac:dyDescent="0.25">
      <c r="A1145" s="1">
        <v>40445</v>
      </c>
      <c r="B1145">
        <v>8172</v>
      </c>
      <c r="C1145">
        <v>8198</v>
      </c>
      <c r="D1145">
        <v>8121</v>
      </c>
      <c r="E1145">
        <v>8148</v>
      </c>
      <c r="F1145">
        <v>8177.8</v>
      </c>
    </row>
    <row r="1146" spans="1:6" x14ac:dyDescent="0.25">
      <c r="A1146" s="1">
        <v>40448</v>
      </c>
      <c r="B1146">
        <v>8213</v>
      </c>
      <c r="C1146">
        <v>8230</v>
      </c>
      <c r="D1146">
        <v>8176</v>
      </c>
      <c r="E1146">
        <v>8187</v>
      </c>
      <c r="F1146">
        <v>8181.2</v>
      </c>
    </row>
    <row r="1147" spans="1:6" x14ac:dyDescent="0.25">
      <c r="A1147" s="1">
        <v>40449</v>
      </c>
      <c r="B1147">
        <v>8160</v>
      </c>
      <c r="C1147">
        <v>8199</v>
      </c>
      <c r="D1147">
        <v>8150</v>
      </c>
      <c r="E1147">
        <v>8181</v>
      </c>
      <c r="F1147">
        <v>8181.6</v>
      </c>
    </row>
    <row r="1148" spans="1:6" x14ac:dyDescent="0.25">
      <c r="A1148" s="1">
        <v>40450</v>
      </c>
      <c r="B1148">
        <v>8219</v>
      </c>
      <c r="C1148">
        <v>8296</v>
      </c>
      <c r="D1148">
        <v>8203</v>
      </c>
      <c r="E1148">
        <v>8213</v>
      </c>
      <c r="F1148">
        <v>8186.2</v>
      </c>
    </row>
    <row r="1149" spans="1:6" x14ac:dyDescent="0.25">
      <c r="A1149" s="1">
        <v>40451</v>
      </c>
      <c r="B1149">
        <v>8216</v>
      </c>
      <c r="C1149">
        <v>8232</v>
      </c>
      <c r="D1149">
        <v>8186</v>
      </c>
      <c r="E1149">
        <v>8216</v>
      </c>
      <c r="F1149">
        <v>8189</v>
      </c>
    </row>
    <row r="1150" spans="1:6" x14ac:dyDescent="0.25">
      <c r="A1150" s="1">
        <v>40452</v>
      </c>
      <c r="B1150">
        <v>8248</v>
      </c>
      <c r="C1150">
        <v>8255</v>
      </c>
      <c r="D1150">
        <v>8202</v>
      </c>
      <c r="E1150">
        <v>8237</v>
      </c>
      <c r="F1150">
        <v>8206.7999999999993</v>
      </c>
    </row>
    <row r="1151" spans="1:6" x14ac:dyDescent="0.25">
      <c r="A1151" s="1">
        <v>40455</v>
      </c>
      <c r="B1151">
        <v>8236</v>
      </c>
      <c r="C1151">
        <v>8285</v>
      </c>
      <c r="D1151">
        <v>8213</v>
      </c>
      <c r="E1151">
        <v>8214</v>
      </c>
      <c r="F1151">
        <v>8212.2000000000007</v>
      </c>
    </row>
    <row r="1152" spans="1:6" x14ac:dyDescent="0.25">
      <c r="A1152" s="1">
        <v>40456</v>
      </c>
      <c r="B1152">
        <v>8204</v>
      </c>
      <c r="C1152">
        <v>8213</v>
      </c>
      <c r="D1152">
        <v>8128</v>
      </c>
      <c r="E1152">
        <v>8190</v>
      </c>
      <c r="F1152">
        <v>8214</v>
      </c>
    </row>
    <row r="1153" spans="1:6" x14ac:dyDescent="0.25">
      <c r="A1153" s="1">
        <v>40457</v>
      </c>
      <c r="B1153">
        <v>8266</v>
      </c>
      <c r="C1153">
        <v>8293</v>
      </c>
      <c r="D1153">
        <v>8255</v>
      </c>
      <c r="E1153">
        <v>8271</v>
      </c>
      <c r="F1153">
        <v>8225.6</v>
      </c>
    </row>
    <row r="1154" spans="1:6" x14ac:dyDescent="0.25">
      <c r="A1154" s="1">
        <v>40458</v>
      </c>
      <c r="B1154">
        <v>8272</v>
      </c>
      <c r="C1154">
        <v>8283</v>
      </c>
      <c r="D1154">
        <v>8256</v>
      </c>
      <c r="E1154">
        <v>8272</v>
      </c>
      <c r="F1154">
        <v>8236.7999999999993</v>
      </c>
    </row>
    <row r="1155" spans="1:6" x14ac:dyDescent="0.25">
      <c r="A1155" s="1">
        <v>40459</v>
      </c>
      <c r="B1155">
        <v>8268</v>
      </c>
      <c r="C1155">
        <v>8300</v>
      </c>
      <c r="D1155">
        <v>8213</v>
      </c>
      <c r="E1155">
        <v>8216</v>
      </c>
      <c r="F1155">
        <v>8232.6</v>
      </c>
    </row>
    <row r="1156" spans="1:6" x14ac:dyDescent="0.25">
      <c r="A1156" s="1">
        <v>40462</v>
      </c>
      <c r="B1156">
        <v>8240</v>
      </c>
      <c r="C1156">
        <v>8246</v>
      </c>
      <c r="D1156">
        <v>8131</v>
      </c>
      <c r="E1156">
        <v>8136</v>
      </c>
      <c r="F1156">
        <v>8217</v>
      </c>
    </row>
    <row r="1157" spans="1:6" x14ac:dyDescent="0.25">
      <c r="A1157" s="1">
        <v>40463</v>
      </c>
      <c r="B1157">
        <v>8153</v>
      </c>
      <c r="C1157">
        <v>8155</v>
      </c>
      <c r="D1157">
        <v>8021</v>
      </c>
      <c r="E1157">
        <v>8057</v>
      </c>
      <c r="F1157">
        <v>8190.4</v>
      </c>
    </row>
    <row r="1158" spans="1:6" x14ac:dyDescent="0.25">
      <c r="A1158" s="1">
        <v>40464</v>
      </c>
      <c r="B1158">
        <v>8081</v>
      </c>
      <c r="C1158">
        <v>8110</v>
      </c>
      <c r="D1158">
        <v>8041</v>
      </c>
      <c r="E1158">
        <v>8109</v>
      </c>
      <c r="F1158">
        <v>8158</v>
      </c>
    </row>
    <row r="1159" spans="1:6" x14ac:dyDescent="0.25">
      <c r="A1159" s="1">
        <v>40465</v>
      </c>
      <c r="B1159">
        <v>8170</v>
      </c>
      <c r="C1159">
        <v>8250</v>
      </c>
      <c r="D1159">
        <v>8165</v>
      </c>
      <c r="E1159">
        <v>8229</v>
      </c>
      <c r="F1159">
        <v>8149.4</v>
      </c>
    </row>
    <row r="1160" spans="1:6" x14ac:dyDescent="0.25">
      <c r="A1160" s="1">
        <v>40466</v>
      </c>
      <c r="B1160">
        <v>8209</v>
      </c>
      <c r="C1160">
        <v>8245</v>
      </c>
      <c r="D1160">
        <v>8190</v>
      </c>
      <c r="E1160">
        <v>8192</v>
      </c>
      <c r="F1160">
        <v>8144.6</v>
      </c>
    </row>
    <row r="1161" spans="1:6" x14ac:dyDescent="0.25">
      <c r="A1161" s="1">
        <v>40469</v>
      </c>
      <c r="B1161">
        <v>8172</v>
      </c>
      <c r="C1161">
        <v>8193</v>
      </c>
      <c r="D1161">
        <v>8024</v>
      </c>
      <c r="E1161">
        <v>8031</v>
      </c>
      <c r="F1161">
        <v>8123.6</v>
      </c>
    </row>
    <row r="1162" spans="1:6" x14ac:dyDescent="0.25">
      <c r="A1162" s="1">
        <v>40470</v>
      </c>
      <c r="B1162">
        <v>8037</v>
      </c>
      <c r="C1162">
        <v>8054</v>
      </c>
      <c r="D1162">
        <v>7995</v>
      </c>
      <c r="E1162">
        <v>8019</v>
      </c>
      <c r="F1162">
        <v>8116</v>
      </c>
    </row>
    <row r="1163" spans="1:6" x14ac:dyDescent="0.25">
      <c r="A1163" s="1">
        <v>40471</v>
      </c>
      <c r="B1163">
        <v>7952</v>
      </c>
      <c r="C1163">
        <v>8121</v>
      </c>
      <c r="D1163">
        <v>7948</v>
      </c>
      <c r="E1163">
        <v>8121</v>
      </c>
      <c r="F1163">
        <v>8118.4</v>
      </c>
    </row>
    <row r="1164" spans="1:6" x14ac:dyDescent="0.25">
      <c r="A1164" s="1">
        <v>40472</v>
      </c>
      <c r="B1164">
        <v>8080</v>
      </c>
      <c r="C1164">
        <v>8144</v>
      </c>
      <c r="D1164">
        <v>8062</v>
      </c>
      <c r="E1164">
        <v>8088</v>
      </c>
      <c r="F1164">
        <v>8090.2</v>
      </c>
    </row>
    <row r="1165" spans="1:6" x14ac:dyDescent="0.25">
      <c r="A1165" s="1">
        <v>40473</v>
      </c>
      <c r="B1165">
        <v>8122</v>
      </c>
      <c r="C1165">
        <v>8142</v>
      </c>
      <c r="D1165">
        <v>8097</v>
      </c>
      <c r="E1165">
        <v>8142</v>
      </c>
      <c r="F1165">
        <v>8080.2</v>
      </c>
    </row>
    <row r="1166" spans="1:6" x14ac:dyDescent="0.25">
      <c r="A1166" s="1">
        <v>40476</v>
      </c>
      <c r="B1166">
        <v>8160</v>
      </c>
      <c r="C1166">
        <v>8307</v>
      </c>
      <c r="D1166">
        <v>8157</v>
      </c>
      <c r="E1166">
        <v>8305</v>
      </c>
      <c r="F1166">
        <v>8135</v>
      </c>
    </row>
    <row r="1167" spans="1:6" x14ac:dyDescent="0.25">
      <c r="A1167" s="1">
        <v>40477</v>
      </c>
      <c r="B1167">
        <v>8306</v>
      </c>
      <c r="C1167">
        <v>8340</v>
      </c>
      <c r="D1167">
        <v>8295</v>
      </c>
      <c r="E1167">
        <v>8313</v>
      </c>
      <c r="F1167">
        <v>8193.7999999999993</v>
      </c>
    </row>
    <row r="1168" spans="1:6" x14ac:dyDescent="0.25">
      <c r="A1168" s="1">
        <v>40478</v>
      </c>
      <c r="B1168">
        <v>8330</v>
      </c>
      <c r="C1168">
        <v>8368</v>
      </c>
      <c r="D1168">
        <v>8265</v>
      </c>
      <c r="E1168">
        <v>8283</v>
      </c>
      <c r="F1168">
        <v>8226.2000000000007</v>
      </c>
    </row>
    <row r="1169" spans="1:6" x14ac:dyDescent="0.25">
      <c r="A1169" s="1">
        <v>40479</v>
      </c>
      <c r="B1169">
        <v>8302</v>
      </c>
      <c r="C1169">
        <v>8355</v>
      </c>
      <c r="D1169">
        <v>8283</v>
      </c>
      <c r="E1169">
        <v>8343</v>
      </c>
      <c r="F1169">
        <v>8277.2000000000007</v>
      </c>
    </row>
    <row r="1170" spans="1:6" x14ac:dyDescent="0.25">
      <c r="A1170" s="1">
        <v>40480</v>
      </c>
      <c r="B1170">
        <v>8316</v>
      </c>
      <c r="C1170">
        <v>8329</v>
      </c>
      <c r="D1170">
        <v>8257</v>
      </c>
      <c r="E1170">
        <v>8304</v>
      </c>
      <c r="F1170">
        <v>8309.6</v>
      </c>
    </row>
    <row r="1171" spans="1:6" x14ac:dyDescent="0.25">
      <c r="A1171" s="1">
        <v>40483</v>
      </c>
      <c r="B1171">
        <v>8330</v>
      </c>
      <c r="C1171">
        <v>8429</v>
      </c>
      <c r="D1171">
        <v>8325</v>
      </c>
      <c r="E1171">
        <v>8395</v>
      </c>
      <c r="F1171">
        <v>8327.6</v>
      </c>
    </row>
    <row r="1172" spans="1:6" x14ac:dyDescent="0.25">
      <c r="A1172" s="1">
        <v>40484</v>
      </c>
      <c r="B1172">
        <v>8395</v>
      </c>
      <c r="C1172">
        <v>8402</v>
      </c>
      <c r="D1172">
        <v>8362</v>
      </c>
      <c r="E1172">
        <v>8368</v>
      </c>
      <c r="F1172">
        <v>8338.6</v>
      </c>
    </row>
    <row r="1173" spans="1:6" x14ac:dyDescent="0.25">
      <c r="A1173" s="1">
        <v>40485</v>
      </c>
      <c r="B1173">
        <v>8405</v>
      </c>
      <c r="C1173">
        <v>8422</v>
      </c>
      <c r="D1173">
        <v>8283</v>
      </c>
      <c r="E1173">
        <v>8325</v>
      </c>
      <c r="F1173">
        <v>8347</v>
      </c>
    </row>
    <row r="1174" spans="1:6" x14ac:dyDescent="0.25">
      <c r="A1174" s="1">
        <v>40486</v>
      </c>
      <c r="B1174">
        <v>8340</v>
      </c>
      <c r="C1174">
        <v>8388</v>
      </c>
      <c r="D1174">
        <v>8325</v>
      </c>
      <c r="E1174">
        <v>8368</v>
      </c>
      <c r="F1174">
        <v>8352</v>
      </c>
    </row>
    <row r="1175" spans="1:6" x14ac:dyDescent="0.25">
      <c r="A1175" s="1">
        <v>40487</v>
      </c>
      <c r="B1175">
        <v>8471</v>
      </c>
      <c r="C1175">
        <v>8499</v>
      </c>
      <c r="D1175">
        <v>8442</v>
      </c>
      <c r="E1175">
        <v>8462</v>
      </c>
      <c r="F1175">
        <v>8383.6</v>
      </c>
    </row>
    <row r="1176" spans="1:6" x14ac:dyDescent="0.25">
      <c r="A1176" s="1">
        <v>40490</v>
      </c>
      <c r="B1176">
        <v>8481</v>
      </c>
      <c r="C1176">
        <v>8488</v>
      </c>
      <c r="D1176">
        <v>8431</v>
      </c>
      <c r="E1176">
        <v>8453</v>
      </c>
      <c r="F1176">
        <v>8395.2000000000007</v>
      </c>
    </row>
    <row r="1177" spans="1:6" x14ac:dyDescent="0.25">
      <c r="A1177" s="1">
        <v>40491</v>
      </c>
      <c r="B1177">
        <v>8441</v>
      </c>
      <c r="C1177">
        <v>8471</v>
      </c>
      <c r="D1177">
        <v>8433</v>
      </c>
      <c r="E1177">
        <v>8468</v>
      </c>
      <c r="F1177">
        <v>8415.2000000000007</v>
      </c>
    </row>
    <row r="1178" spans="1:6" x14ac:dyDescent="0.25">
      <c r="A1178" s="1">
        <v>40492</v>
      </c>
      <c r="B1178">
        <v>8476</v>
      </c>
      <c r="C1178">
        <v>8492</v>
      </c>
      <c r="D1178">
        <v>8435</v>
      </c>
      <c r="E1178">
        <v>8484</v>
      </c>
      <c r="F1178">
        <v>8447</v>
      </c>
    </row>
    <row r="1179" spans="1:6" x14ac:dyDescent="0.25">
      <c r="A1179" s="1">
        <v>40493</v>
      </c>
      <c r="B1179">
        <v>8471</v>
      </c>
      <c r="C1179">
        <v>8480</v>
      </c>
      <c r="D1179">
        <v>8446</v>
      </c>
      <c r="E1179">
        <v>8449</v>
      </c>
      <c r="F1179">
        <v>8463.2000000000007</v>
      </c>
    </row>
    <row r="1180" spans="1:6" x14ac:dyDescent="0.25">
      <c r="A1180" s="1">
        <v>40494</v>
      </c>
      <c r="B1180">
        <v>8436</v>
      </c>
      <c r="C1180">
        <v>8437</v>
      </c>
      <c r="D1180">
        <v>8302</v>
      </c>
      <c r="E1180">
        <v>8311</v>
      </c>
      <c r="F1180">
        <v>8433</v>
      </c>
    </row>
    <row r="1181" spans="1:6" x14ac:dyDescent="0.25">
      <c r="A1181" s="1">
        <v>40497</v>
      </c>
      <c r="B1181">
        <v>8300</v>
      </c>
      <c r="C1181">
        <v>8310</v>
      </c>
      <c r="D1181">
        <v>8229</v>
      </c>
      <c r="E1181">
        <v>8270</v>
      </c>
      <c r="F1181">
        <v>8396.4</v>
      </c>
    </row>
    <row r="1182" spans="1:6" x14ac:dyDescent="0.25">
      <c r="A1182" s="1">
        <v>40498</v>
      </c>
      <c r="B1182">
        <v>8235</v>
      </c>
      <c r="C1182">
        <v>8342</v>
      </c>
      <c r="D1182">
        <v>8219</v>
      </c>
      <c r="E1182">
        <v>8286</v>
      </c>
      <c r="F1182">
        <v>8360</v>
      </c>
    </row>
    <row r="1183" spans="1:6" x14ac:dyDescent="0.25">
      <c r="A1183" s="1">
        <v>40499</v>
      </c>
      <c r="B1183">
        <v>8235</v>
      </c>
      <c r="C1183">
        <v>8298</v>
      </c>
      <c r="D1183">
        <v>8226</v>
      </c>
      <c r="E1183">
        <v>8245</v>
      </c>
      <c r="F1183">
        <v>8312.2000000000007</v>
      </c>
    </row>
    <row r="1184" spans="1:6" x14ac:dyDescent="0.25">
      <c r="A1184" s="1">
        <v>40500</v>
      </c>
      <c r="B1184">
        <v>8253</v>
      </c>
      <c r="C1184">
        <v>8294</v>
      </c>
      <c r="D1184">
        <v>8240</v>
      </c>
      <c r="E1184">
        <v>8293</v>
      </c>
      <c r="F1184">
        <v>8281</v>
      </c>
    </row>
    <row r="1185" spans="1:6" x14ac:dyDescent="0.25">
      <c r="A1185" s="1">
        <v>40501</v>
      </c>
      <c r="B1185">
        <v>8340</v>
      </c>
      <c r="C1185">
        <v>8360</v>
      </c>
      <c r="D1185">
        <v>8258</v>
      </c>
      <c r="E1185">
        <v>8286</v>
      </c>
      <c r="F1185">
        <v>8276</v>
      </c>
    </row>
    <row r="1186" spans="1:6" x14ac:dyDescent="0.25">
      <c r="A1186" s="1">
        <v>40504</v>
      </c>
      <c r="B1186">
        <v>8316</v>
      </c>
      <c r="C1186">
        <v>8396</v>
      </c>
      <c r="D1186">
        <v>8312</v>
      </c>
      <c r="E1186">
        <v>8372</v>
      </c>
      <c r="F1186">
        <v>8296.4</v>
      </c>
    </row>
    <row r="1187" spans="1:6" x14ac:dyDescent="0.25">
      <c r="A1187" s="1">
        <v>40505</v>
      </c>
      <c r="B1187">
        <v>8372</v>
      </c>
      <c r="C1187">
        <v>8375</v>
      </c>
      <c r="D1187">
        <v>8307</v>
      </c>
      <c r="E1187">
        <v>8329</v>
      </c>
      <c r="F1187">
        <v>8305</v>
      </c>
    </row>
    <row r="1188" spans="1:6" x14ac:dyDescent="0.25">
      <c r="A1188" s="1">
        <v>40506</v>
      </c>
      <c r="B1188">
        <v>8279</v>
      </c>
      <c r="C1188">
        <v>8352</v>
      </c>
      <c r="D1188">
        <v>8272</v>
      </c>
      <c r="E1188">
        <v>8303</v>
      </c>
      <c r="F1188">
        <v>8316.6</v>
      </c>
    </row>
    <row r="1189" spans="1:6" x14ac:dyDescent="0.25">
      <c r="A1189" s="1">
        <v>40507</v>
      </c>
      <c r="B1189">
        <v>8315</v>
      </c>
      <c r="C1189">
        <v>8362</v>
      </c>
      <c r="D1189">
        <v>8307</v>
      </c>
      <c r="E1189">
        <v>8341</v>
      </c>
      <c r="F1189">
        <v>8326.2000000000007</v>
      </c>
    </row>
    <row r="1190" spans="1:6" x14ac:dyDescent="0.25">
      <c r="A1190" s="1">
        <v>40508</v>
      </c>
      <c r="B1190">
        <v>8358</v>
      </c>
      <c r="C1190">
        <v>8358</v>
      </c>
      <c r="D1190">
        <v>8294</v>
      </c>
      <c r="E1190">
        <v>8298</v>
      </c>
      <c r="F1190">
        <v>8328.6</v>
      </c>
    </row>
    <row r="1191" spans="1:6" x14ac:dyDescent="0.25">
      <c r="A1191" s="1">
        <v>40511</v>
      </c>
      <c r="B1191">
        <v>8348</v>
      </c>
      <c r="C1191">
        <v>8395</v>
      </c>
      <c r="D1191">
        <v>8312</v>
      </c>
      <c r="E1191">
        <v>8379</v>
      </c>
      <c r="F1191">
        <v>8330</v>
      </c>
    </row>
    <row r="1192" spans="1:6" x14ac:dyDescent="0.25">
      <c r="A1192" s="1">
        <v>40512</v>
      </c>
      <c r="B1192">
        <v>8391</v>
      </c>
      <c r="C1192">
        <v>8449</v>
      </c>
      <c r="D1192">
        <v>8372</v>
      </c>
      <c r="E1192">
        <v>8405</v>
      </c>
      <c r="F1192">
        <v>8345.2000000000007</v>
      </c>
    </row>
    <row r="1193" spans="1:6" x14ac:dyDescent="0.25">
      <c r="A1193" s="1">
        <v>40513</v>
      </c>
      <c r="B1193">
        <v>8410</v>
      </c>
      <c r="C1193">
        <v>8550</v>
      </c>
      <c r="D1193">
        <v>8409</v>
      </c>
      <c r="E1193">
        <v>8548</v>
      </c>
      <c r="F1193">
        <v>8394.2000000000007</v>
      </c>
    </row>
    <row r="1194" spans="1:6" x14ac:dyDescent="0.25">
      <c r="A1194" s="1">
        <v>40514</v>
      </c>
      <c r="B1194">
        <v>8610</v>
      </c>
      <c r="C1194">
        <v>8643</v>
      </c>
      <c r="D1194">
        <v>8591</v>
      </c>
      <c r="E1194">
        <v>8621</v>
      </c>
      <c r="F1194">
        <v>8450.2000000000007</v>
      </c>
    </row>
    <row r="1195" spans="1:6" x14ac:dyDescent="0.25">
      <c r="A1195" s="1">
        <v>40515</v>
      </c>
      <c r="B1195">
        <v>8644</v>
      </c>
      <c r="C1195">
        <v>8647</v>
      </c>
      <c r="D1195">
        <v>8608</v>
      </c>
      <c r="E1195">
        <v>8626</v>
      </c>
      <c r="F1195">
        <v>8515.7999999999993</v>
      </c>
    </row>
    <row r="1196" spans="1:6" x14ac:dyDescent="0.25">
      <c r="A1196" s="1">
        <v>40518</v>
      </c>
      <c r="B1196">
        <v>8638</v>
      </c>
      <c r="C1196">
        <v>8714</v>
      </c>
      <c r="D1196">
        <v>8633</v>
      </c>
      <c r="E1196">
        <v>8692</v>
      </c>
      <c r="F1196">
        <v>8578.4</v>
      </c>
    </row>
    <row r="1197" spans="1:6" x14ac:dyDescent="0.25">
      <c r="A1197" s="1">
        <v>40519</v>
      </c>
      <c r="B1197">
        <v>8703</v>
      </c>
      <c r="C1197">
        <v>8717</v>
      </c>
      <c r="D1197">
        <v>8653</v>
      </c>
      <c r="E1197">
        <v>8717</v>
      </c>
      <c r="F1197">
        <v>8640.7999999999993</v>
      </c>
    </row>
    <row r="1198" spans="1:6" x14ac:dyDescent="0.25">
      <c r="A1198" s="1">
        <v>40520</v>
      </c>
      <c r="B1198">
        <v>8718</v>
      </c>
      <c r="C1198">
        <v>8720</v>
      </c>
      <c r="D1198">
        <v>8676</v>
      </c>
      <c r="E1198">
        <v>8701</v>
      </c>
      <c r="F1198">
        <v>8671.4</v>
      </c>
    </row>
    <row r="1199" spans="1:6" x14ac:dyDescent="0.25">
      <c r="A1199" s="1">
        <v>40521</v>
      </c>
      <c r="B1199">
        <v>8720</v>
      </c>
      <c r="C1199">
        <v>8797</v>
      </c>
      <c r="D1199">
        <v>8718</v>
      </c>
      <c r="E1199">
        <v>8789</v>
      </c>
      <c r="F1199">
        <v>8705</v>
      </c>
    </row>
    <row r="1200" spans="1:6" x14ac:dyDescent="0.25">
      <c r="A1200" s="1">
        <v>40522</v>
      </c>
      <c r="B1200">
        <v>8754</v>
      </c>
      <c r="C1200">
        <v>8764</v>
      </c>
      <c r="D1200">
        <v>8699</v>
      </c>
      <c r="E1200">
        <v>8746</v>
      </c>
      <c r="F1200">
        <v>8729</v>
      </c>
    </row>
    <row r="1201" spans="1:6" x14ac:dyDescent="0.25">
      <c r="A1201" s="1">
        <v>40525</v>
      </c>
      <c r="B1201">
        <v>8733</v>
      </c>
      <c r="C1201">
        <v>8765</v>
      </c>
      <c r="D1201">
        <v>8724</v>
      </c>
      <c r="E1201">
        <v>8737</v>
      </c>
      <c r="F1201">
        <v>8738</v>
      </c>
    </row>
    <row r="1202" spans="1:6" x14ac:dyDescent="0.25">
      <c r="A1202" s="1">
        <v>40526</v>
      </c>
      <c r="B1202">
        <v>8748</v>
      </c>
      <c r="C1202">
        <v>8792</v>
      </c>
      <c r="D1202">
        <v>8711</v>
      </c>
      <c r="E1202">
        <v>8739</v>
      </c>
      <c r="F1202">
        <v>8742.4</v>
      </c>
    </row>
    <row r="1203" spans="1:6" x14ac:dyDescent="0.25">
      <c r="A1203" s="1">
        <v>40527</v>
      </c>
      <c r="B1203">
        <v>8733</v>
      </c>
      <c r="C1203">
        <v>8747</v>
      </c>
      <c r="D1203">
        <v>8705</v>
      </c>
      <c r="E1203">
        <v>8727</v>
      </c>
      <c r="F1203">
        <v>8747.6</v>
      </c>
    </row>
    <row r="1204" spans="1:6" x14ac:dyDescent="0.25">
      <c r="A1204" s="1">
        <v>40528</v>
      </c>
      <c r="B1204">
        <v>8761</v>
      </c>
      <c r="C1204">
        <v>8793</v>
      </c>
      <c r="D1204">
        <v>8753</v>
      </c>
      <c r="E1204">
        <v>8775</v>
      </c>
      <c r="F1204">
        <v>8744.7999999999993</v>
      </c>
    </row>
    <row r="1205" spans="1:6" x14ac:dyDescent="0.25">
      <c r="A1205" s="1">
        <v>40529</v>
      </c>
      <c r="B1205">
        <v>8780</v>
      </c>
      <c r="C1205">
        <v>8840</v>
      </c>
      <c r="D1205">
        <v>8777</v>
      </c>
      <c r="E1205">
        <v>8806</v>
      </c>
      <c r="F1205">
        <v>8756.7999999999993</v>
      </c>
    </row>
    <row r="1206" spans="1:6" x14ac:dyDescent="0.25">
      <c r="A1206" s="1">
        <v>40532</v>
      </c>
      <c r="B1206">
        <v>8816</v>
      </c>
      <c r="C1206">
        <v>8832</v>
      </c>
      <c r="D1206">
        <v>8728</v>
      </c>
      <c r="E1206">
        <v>8763</v>
      </c>
      <c r="F1206">
        <v>8762</v>
      </c>
    </row>
    <row r="1207" spans="1:6" x14ac:dyDescent="0.25">
      <c r="A1207" s="1">
        <v>40533</v>
      </c>
      <c r="B1207">
        <v>8780</v>
      </c>
      <c r="C1207">
        <v>8847</v>
      </c>
      <c r="D1207">
        <v>8762</v>
      </c>
      <c r="E1207">
        <v>8847</v>
      </c>
      <c r="F1207">
        <v>8783.6</v>
      </c>
    </row>
    <row r="1208" spans="1:6" x14ac:dyDescent="0.25">
      <c r="A1208" s="1">
        <v>40534</v>
      </c>
      <c r="B1208">
        <v>8860</v>
      </c>
      <c r="C1208">
        <v>8872</v>
      </c>
      <c r="D1208">
        <v>8833</v>
      </c>
      <c r="E1208">
        <v>8853</v>
      </c>
      <c r="F1208">
        <v>8808.7999999999993</v>
      </c>
    </row>
    <row r="1209" spans="1:6" x14ac:dyDescent="0.25">
      <c r="A1209" s="1">
        <v>40535</v>
      </c>
      <c r="B1209">
        <v>8850</v>
      </c>
      <c r="C1209">
        <v>8909</v>
      </c>
      <c r="D1209">
        <v>8847</v>
      </c>
      <c r="E1209">
        <v>8900</v>
      </c>
      <c r="F1209">
        <v>8833.7999999999993</v>
      </c>
    </row>
    <row r="1210" spans="1:6" x14ac:dyDescent="0.25">
      <c r="A1210" s="1">
        <v>40536</v>
      </c>
      <c r="B1210">
        <v>8893</v>
      </c>
      <c r="C1210">
        <v>8898</v>
      </c>
      <c r="D1210">
        <v>8868</v>
      </c>
      <c r="E1210">
        <v>8883</v>
      </c>
      <c r="F1210">
        <v>8849.2000000000007</v>
      </c>
    </row>
    <row r="1211" spans="1:6" x14ac:dyDescent="0.25">
      <c r="A1211" s="1">
        <v>40539</v>
      </c>
      <c r="B1211">
        <v>8860</v>
      </c>
      <c r="C1211">
        <v>8917</v>
      </c>
      <c r="D1211">
        <v>8832</v>
      </c>
      <c r="E1211">
        <v>8883</v>
      </c>
      <c r="F1211">
        <v>8873.2000000000007</v>
      </c>
    </row>
    <row r="1212" spans="1:6" x14ac:dyDescent="0.25">
      <c r="A1212" s="1">
        <v>40540</v>
      </c>
      <c r="B1212">
        <v>8889</v>
      </c>
      <c r="C1212">
        <v>8905</v>
      </c>
      <c r="D1212">
        <v>8830</v>
      </c>
      <c r="E1212">
        <v>8878</v>
      </c>
      <c r="F1212">
        <v>8879.4</v>
      </c>
    </row>
    <row r="1213" spans="1:6" x14ac:dyDescent="0.25">
      <c r="A1213" s="1">
        <v>40541</v>
      </c>
      <c r="B1213">
        <v>8859</v>
      </c>
      <c r="C1213">
        <v>8895</v>
      </c>
      <c r="D1213">
        <v>8842</v>
      </c>
      <c r="E1213">
        <v>8870</v>
      </c>
      <c r="F1213">
        <v>8882.7999999999993</v>
      </c>
    </row>
    <row r="1214" spans="1:6" x14ac:dyDescent="0.25">
      <c r="A1214" s="1">
        <v>40542</v>
      </c>
      <c r="B1214">
        <v>8876</v>
      </c>
      <c r="C1214">
        <v>8918</v>
      </c>
      <c r="D1214">
        <v>8866</v>
      </c>
      <c r="E1214">
        <v>8908</v>
      </c>
      <c r="F1214">
        <v>8884.4</v>
      </c>
    </row>
    <row r="1215" spans="1:6" x14ac:dyDescent="0.25">
      <c r="A1215" s="1">
        <v>40543</v>
      </c>
      <c r="B1215">
        <v>8894</v>
      </c>
      <c r="C1215">
        <v>8996</v>
      </c>
      <c r="D1215">
        <v>8892</v>
      </c>
      <c r="E1215">
        <v>8986</v>
      </c>
      <c r="F1215">
        <v>8905</v>
      </c>
    </row>
    <row r="1216" spans="1:6" x14ac:dyDescent="0.25">
      <c r="A1216" s="1">
        <v>40546</v>
      </c>
      <c r="B1216">
        <v>9005</v>
      </c>
      <c r="C1216">
        <v>9030</v>
      </c>
      <c r="D1216">
        <v>8996</v>
      </c>
      <c r="E1216">
        <v>9020</v>
      </c>
      <c r="F1216">
        <v>8932.4</v>
      </c>
    </row>
    <row r="1217" spans="1:6" x14ac:dyDescent="0.25">
      <c r="A1217" s="1">
        <v>40547</v>
      </c>
      <c r="B1217">
        <v>9030</v>
      </c>
      <c r="C1217">
        <v>9032</v>
      </c>
      <c r="D1217">
        <v>8973</v>
      </c>
      <c r="E1217">
        <v>8974</v>
      </c>
      <c r="F1217">
        <v>8951.6</v>
      </c>
    </row>
    <row r="1218" spans="1:6" x14ac:dyDescent="0.25">
      <c r="A1218" s="1">
        <v>40548</v>
      </c>
      <c r="B1218">
        <v>8961</v>
      </c>
      <c r="C1218">
        <v>9005</v>
      </c>
      <c r="D1218">
        <v>8612</v>
      </c>
      <c r="E1218">
        <v>8841</v>
      </c>
      <c r="F1218">
        <v>8945.7999999999993</v>
      </c>
    </row>
    <row r="1219" spans="1:6" x14ac:dyDescent="0.25">
      <c r="A1219" s="1">
        <v>40549</v>
      </c>
      <c r="B1219">
        <v>8850</v>
      </c>
      <c r="C1219">
        <v>8875</v>
      </c>
      <c r="D1219">
        <v>8814</v>
      </c>
      <c r="E1219">
        <v>8867</v>
      </c>
      <c r="F1219">
        <v>8937.6</v>
      </c>
    </row>
    <row r="1220" spans="1:6" x14ac:dyDescent="0.25">
      <c r="A1220" s="1">
        <v>40550</v>
      </c>
      <c r="B1220">
        <v>8865</v>
      </c>
      <c r="C1220">
        <v>8883</v>
      </c>
      <c r="D1220">
        <v>8728</v>
      </c>
      <c r="E1220">
        <v>8751</v>
      </c>
      <c r="F1220">
        <v>8890.6</v>
      </c>
    </row>
    <row r="1221" spans="1:6" x14ac:dyDescent="0.25">
      <c r="A1221" s="1">
        <v>40553</v>
      </c>
      <c r="B1221">
        <v>8731</v>
      </c>
      <c r="C1221">
        <v>8799</v>
      </c>
      <c r="D1221">
        <v>8731</v>
      </c>
      <c r="E1221">
        <v>8789</v>
      </c>
      <c r="F1221">
        <v>8844.4</v>
      </c>
    </row>
    <row r="1222" spans="1:6" x14ac:dyDescent="0.25">
      <c r="A1222" s="1">
        <v>40554</v>
      </c>
      <c r="B1222">
        <v>8788</v>
      </c>
      <c r="C1222">
        <v>8949</v>
      </c>
      <c r="D1222">
        <v>8760</v>
      </c>
      <c r="E1222">
        <v>8943</v>
      </c>
      <c r="F1222">
        <v>8838.2000000000007</v>
      </c>
    </row>
    <row r="1223" spans="1:6" x14ac:dyDescent="0.25">
      <c r="A1223" s="1">
        <v>40555</v>
      </c>
      <c r="B1223">
        <v>8953</v>
      </c>
      <c r="C1223">
        <v>9002</v>
      </c>
      <c r="D1223">
        <v>8944</v>
      </c>
      <c r="E1223">
        <v>8968</v>
      </c>
      <c r="F1223">
        <v>8863.6</v>
      </c>
    </row>
    <row r="1224" spans="1:6" x14ac:dyDescent="0.25">
      <c r="A1224" s="1">
        <v>40556</v>
      </c>
      <c r="B1224">
        <v>9002</v>
      </c>
      <c r="C1224">
        <v>9017</v>
      </c>
      <c r="D1224">
        <v>8915</v>
      </c>
      <c r="E1224">
        <v>8968</v>
      </c>
      <c r="F1224">
        <v>8883.7999999999993</v>
      </c>
    </row>
    <row r="1225" spans="1:6" x14ac:dyDescent="0.25">
      <c r="A1225" s="1">
        <v>40557</v>
      </c>
      <c r="B1225">
        <v>8957</v>
      </c>
      <c r="C1225">
        <v>8981</v>
      </c>
      <c r="D1225">
        <v>8931</v>
      </c>
      <c r="E1225">
        <v>8969</v>
      </c>
      <c r="F1225">
        <v>8927.4</v>
      </c>
    </row>
    <row r="1226" spans="1:6" x14ac:dyDescent="0.25">
      <c r="A1226" s="1">
        <v>40560</v>
      </c>
      <c r="B1226">
        <v>8982</v>
      </c>
      <c r="C1226">
        <v>9001</v>
      </c>
      <c r="D1226">
        <v>8915</v>
      </c>
      <c r="E1226">
        <v>8917</v>
      </c>
      <c r="F1226">
        <v>8953</v>
      </c>
    </row>
    <row r="1227" spans="1:6" x14ac:dyDescent="0.25">
      <c r="A1227" s="1">
        <v>40561</v>
      </c>
      <c r="B1227">
        <v>8908</v>
      </c>
      <c r="C1227">
        <v>9011</v>
      </c>
      <c r="D1227">
        <v>8870</v>
      </c>
      <c r="E1227">
        <v>8975</v>
      </c>
      <c r="F1227">
        <v>8959.4</v>
      </c>
    </row>
    <row r="1228" spans="1:6" x14ac:dyDescent="0.25">
      <c r="A1228" s="1">
        <v>40562</v>
      </c>
      <c r="B1228">
        <v>9000</v>
      </c>
      <c r="C1228">
        <v>9084</v>
      </c>
      <c r="D1228">
        <v>8983</v>
      </c>
      <c r="E1228">
        <v>9083</v>
      </c>
      <c r="F1228">
        <v>8982.4</v>
      </c>
    </row>
    <row r="1229" spans="1:6" x14ac:dyDescent="0.25">
      <c r="A1229" s="1">
        <v>40563</v>
      </c>
      <c r="B1229">
        <v>9023</v>
      </c>
      <c r="C1229">
        <v>9032</v>
      </c>
      <c r="D1229">
        <v>8996</v>
      </c>
      <c r="E1229">
        <v>9008</v>
      </c>
      <c r="F1229">
        <v>8990.4</v>
      </c>
    </row>
    <row r="1230" spans="1:6" x14ac:dyDescent="0.25">
      <c r="A1230" s="1">
        <v>40564</v>
      </c>
      <c r="B1230">
        <v>8973</v>
      </c>
      <c r="C1230">
        <v>8977</v>
      </c>
      <c r="D1230">
        <v>8860</v>
      </c>
      <c r="E1230">
        <v>8905</v>
      </c>
      <c r="F1230">
        <v>8977.6</v>
      </c>
    </row>
    <row r="1231" spans="1:6" x14ac:dyDescent="0.25">
      <c r="A1231" s="1">
        <v>40567</v>
      </c>
      <c r="B1231">
        <v>8920</v>
      </c>
      <c r="C1231">
        <v>8955</v>
      </c>
      <c r="D1231">
        <v>8910</v>
      </c>
      <c r="E1231">
        <v>8946</v>
      </c>
      <c r="F1231">
        <v>8983.4</v>
      </c>
    </row>
    <row r="1232" spans="1:6" x14ac:dyDescent="0.25">
      <c r="A1232" s="1">
        <v>40568</v>
      </c>
      <c r="B1232">
        <v>8995</v>
      </c>
      <c r="C1232">
        <v>9030</v>
      </c>
      <c r="D1232">
        <v>8965</v>
      </c>
      <c r="E1232">
        <v>8965</v>
      </c>
      <c r="F1232">
        <v>8981.4</v>
      </c>
    </row>
    <row r="1233" spans="1:6" x14ac:dyDescent="0.25">
      <c r="A1233" s="1">
        <v>40569</v>
      </c>
      <c r="B1233">
        <v>8979</v>
      </c>
      <c r="C1233">
        <v>9072</v>
      </c>
      <c r="D1233">
        <v>8970</v>
      </c>
      <c r="E1233">
        <v>9053</v>
      </c>
      <c r="F1233">
        <v>8975.4</v>
      </c>
    </row>
    <row r="1234" spans="1:6" x14ac:dyDescent="0.25">
      <c r="A1234" s="1">
        <v>40570</v>
      </c>
      <c r="B1234">
        <v>9073</v>
      </c>
      <c r="C1234">
        <v>9126</v>
      </c>
      <c r="D1234">
        <v>9068</v>
      </c>
      <c r="E1234">
        <v>9106</v>
      </c>
      <c r="F1234">
        <v>8995</v>
      </c>
    </row>
    <row r="1235" spans="1:6" x14ac:dyDescent="0.25">
      <c r="A1235" s="1">
        <v>40571</v>
      </c>
      <c r="B1235">
        <v>9112</v>
      </c>
      <c r="C1235">
        <v>9141</v>
      </c>
      <c r="D1235">
        <v>9094</v>
      </c>
      <c r="E1235">
        <v>9139</v>
      </c>
      <c r="F1235">
        <v>9041.7999999999993</v>
      </c>
    </row>
    <row r="1236" spans="1:6" x14ac:dyDescent="0.25">
      <c r="A1236" s="1">
        <v>40582</v>
      </c>
      <c r="B1236">
        <v>9180</v>
      </c>
      <c r="C1236">
        <v>9197</v>
      </c>
      <c r="D1236">
        <v>9063</v>
      </c>
      <c r="E1236">
        <v>9098</v>
      </c>
      <c r="F1236">
        <v>9072.2000000000007</v>
      </c>
    </row>
    <row r="1237" spans="1:6" x14ac:dyDescent="0.25">
      <c r="A1237" s="1">
        <v>40583</v>
      </c>
      <c r="B1237">
        <v>9065</v>
      </c>
      <c r="C1237">
        <v>9109</v>
      </c>
      <c r="D1237">
        <v>8975</v>
      </c>
      <c r="E1237">
        <v>9011</v>
      </c>
      <c r="F1237">
        <v>9081.4</v>
      </c>
    </row>
    <row r="1238" spans="1:6" x14ac:dyDescent="0.25">
      <c r="A1238" s="1">
        <v>40584</v>
      </c>
      <c r="B1238">
        <v>8985</v>
      </c>
      <c r="C1238">
        <v>8985</v>
      </c>
      <c r="D1238">
        <v>8816</v>
      </c>
      <c r="E1238">
        <v>8823</v>
      </c>
      <c r="F1238">
        <v>9035.4</v>
      </c>
    </row>
    <row r="1239" spans="1:6" x14ac:dyDescent="0.25">
      <c r="A1239" s="1">
        <v>40585</v>
      </c>
      <c r="B1239">
        <v>8803</v>
      </c>
      <c r="C1239">
        <v>8828</v>
      </c>
      <c r="D1239">
        <v>8523</v>
      </c>
      <c r="E1239">
        <v>8564</v>
      </c>
      <c r="F1239">
        <v>8927</v>
      </c>
    </row>
    <row r="1240" spans="1:6" x14ac:dyDescent="0.25">
      <c r="A1240" s="1">
        <v>40588</v>
      </c>
      <c r="B1240">
        <v>8606</v>
      </c>
      <c r="C1240">
        <v>8692</v>
      </c>
      <c r="D1240">
        <v>8600</v>
      </c>
      <c r="E1240">
        <v>8640</v>
      </c>
      <c r="F1240">
        <v>8827.2000000000007</v>
      </c>
    </row>
    <row r="1241" spans="1:6" x14ac:dyDescent="0.25">
      <c r="A1241" s="1">
        <v>40589</v>
      </c>
      <c r="B1241">
        <v>8644</v>
      </c>
      <c r="C1241">
        <v>8732</v>
      </c>
      <c r="D1241">
        <v>8531</v>
      </c>
      <c r="E1241">
        <v>8699</v>
      </c>
      <c r="F1241">
        <v>8747.4</v>
      </c>
    </row>
    <row r="1242" spans="1:6" x14ac:dyDescent="0.25">
      <c r="A1242" s="1">
        <v>40590</v>
      </c>
      <c r="B1242">
        <v>8733</v>
      </c>
      <c r="C1242">
        <v>8756</v>
      </c>
      <c r="D1242">
        <v>8695</v>
      </c>
      <c r="E1242">
        <v>8718</v>
      </c>
      <c r="F1242">
        <v>8688.7999999999993</v>
      </c>
    </row>
    <row r="1243" spans="1:6" x14ac:dyDescent="0.25">
      <c r="A1243" s="1">
        <v>40591</v>
      </c>
      <c r="B1243">
        <v>8645</v>
      </c>
      <c r="C1243">
        <v>8675</v>
      </c>
      <c r="D1243">
        <v>8590</v>
      </c>
      <c r="E1243">
        <v>8624</v>
      </c>
      <c r="F1243">
        <v>8649</v>
      </c>
    </row>
    <row r="1244" spans="1:6" x14ac:dyDescent="0.25">
      <c r="A1244" s="1">
        <v>40592</v>
      </c>
      <c r="B1244">
        <v>8698</v>
      </c>
      <c r="C1244">
        <v>8845</v>
      </c>
      <c r="D1244">
        <v>8675</v>
      </c>
      <c r="E1244">
        <v>8812</v>
      </c>
      <c r="F1244">
        <v>8698.6</v>
      </c>
    </row>
    <row r="1245" spans="1:6" x14ac:dyDescent="0.25">
      <c r="A1245" s="1">
        <v>40595</v>
      </c>
      <c r="B1245">
        <v>8803</v>
      </c>
      <c r="C1245">
        <v>8814</v>
      </c>
      <c r="D1245">
        <v>8732</v>
      </c>
      <c r="E1245">
        <v>8811</v>
      </c>
      <c r="F1245">
        <v>8732.7999999999993</v>
      </c>
    </row>
    <row r="1246" spans="1:6" x14ac:dyDescent="0.25">
      <c r="A1246" s="1">
        <v>40596</v>
      </c>
      <c r="B1246">
        <v>8733</v>
      </c>
      <c r="C1246">
        <v>8733</v>
      </c>
      <c r="D1246">
        <v>8561</v>
      </c>
      <c r="E1246">
        <v>8619</v>
      </c>
      <c r="F1246">
        <v>8716.7999999999993</v>
      </c>
    </row>
    <row r="1247" spans="1:6" x14ac:dyDescent="0.25">
      <c r="A1247" s="1">
        <v>40597</v>
      </c>
      <c r="B1247">
        <v>8580</v>
      </c>
      <c r="C1247">
        <v>8637</v>
      </c>
      <c r="D1247">
        <v>8481</v>
      </c>
      <c r="E1247">
        <v>8521</v>
      </c>
      <c r="F1247">
        <v>8677.4</v>
      </c>
    </row>
    <row r="1248" spans="1:6" x14ac:dyDescent="0.25">
      <c r="A1248" s="1">
        <v>40598</v>
      </c>
      <c r="B1248">
        <v>8501</v>
      </c>
      <c r="C1248">
        <v>8609</v>
      </c>
      <c r="D1248">
        <v>8501</v>
      </c>
      <c r="E1248">
        <v>8533</v>
      </c>
      <c r="F1248">
        <v>8659.2000000000007</v>
      </c>
    </row>
    <row r="1249" spans="1:6" x14ac:dyDescent="0.25">
      <c r="A1249" s="1">
        <v>40599</v>
      </c>
      <c r="B1249">
        <v>8564</v>
      </c>
      <c r="C1249">
        <v>8630</v>
      </c>
      <c r="D1249">
        <v>8432</v>
      </c>
      <c r="E1249">
        <v>8616</v>
      </c>
      <c r="F1249">
        <v>8620</v>
      </c>
    </row>
    <row r="1250" spans="1:6" x14ac:dyDescent="0.25">
      <c r="A1250" s="1">
        <v>40603</v>
      </c>
      <c r="B1250">
        <v>8691</v>
      </c>
      <c r="C1250">
        <v>8715</v>
      </c>
      <c r="D1250">
        <v>8633</v>
      </c>
      <c r="E1250">
        <v>8691</v>
      </c>
      <c r="F1250">
        <v>8596</v>
      </c>
    </row>
    <row r="1251" spans="1:6" x14ac:dyDescent="0.25">
      <c r="A1251" s="1">
        <v>40604</v>
      </c>
      <c r="B1251">
        <v>8628</v>
      </c>
      <c r="C1251">
        <v>8673</v>
      </c>
      <c r="D1251">
        <v>8582</v>
      </c>
      <c r="E1251">
        <v>8603</v>
      </c>
      <c r="F1251">
        <v>8592.7999999999993</v>
      </c>
    </row>
    <row r="1252" spans="1:6" x14ac:dyDescent="0.25">
      <c r="A1252" s="1">
        <v>40605</v>
      </c>
      <c r="B1252">
        <v>8650</v>
      </c>
      <c r="C1252">
        <v>8755</v>
      </c>
      <c r="D1252">
        <v>8630</v>
      </c>
      <c r="E1252">
        <v>8743</v>
      </c>
      <c r="F1252">
        <v>8637.2000000000007</v>
      </c>
    </row>
    <row r="1253" spans="1:6" x14ac:dyDescent="0.25">
      <c r="A1253" s="1">
        <v>40606</v>
      </c>
      <c r="B1253">
        <v>8800</v>
      </c>
      <c r="C1253">
        <v>8800</v>
      </c>
      <c r="D1253">
        <v>8754</v>
      </c>
      <c r="E1253">
        <v>8760</v>
      </c>
      <c r="F1253">
        <v>8682.6</v>
      </c>
    </row>
    <row r="1254" spans="1:6" x14ac:dyDescent="0.25">
      <c r="A1254" s="1">
        <v>40609</v>
      </c>
      <c r="B1254">
        <v>8741</v>
      </c>
      <c r="C1254">
        <v>8763</v>
      </c>
      <c r="D1254">
        <v>8678</v>
      </c>
      <c r="E1254">
        <v>8723</v>
      </c>
      <c r="F1254">
        <v>8704</v>
      </c>
    </row>
    <row r="1255" spans="1:6" x14ac:dyDescent="0.25">
      <c r="A1255" s="1">
        <v>40610</v>
      </c>
      <c r="B1255">
        <v>8701</v>
      </c>
      <c r="C1255">
        <v>8758</v>
      </c>
      <c r="D1255">
        <v>8701</v>
      </c>
      <c r="E1255">
        <v>8741</v>
      </c>
      <c r="F1255">
        <v>8714</v>
      </c>
    </row>
    <row r="1256" spans="1:6" x14ac:dyDescent="0.25">
      <c r="A1256" s="1">
        <v>40611</v>
      </c>
      <c r="B1256">
        <v>8790</v>
      </c>
      <c r="C1256">
        <v>8798</v>
      </c>
      <c r="D1256">
        <v>8698</v>
      </c>
      <c r="E1256">
        <v>8759</v>
      </c>
      <c r="F1256">
        <v>8745.2000000000007</v>
      </c>
    </row>
    <row r="1257" spans="1:6" x14ac:dyDescent="0.25">
      <c r="A1257" s="1">
        <v>40612</v>
      </c>
      <c r="B1257">
        <v>8765</v>
      </c>
      <c r="C1257">
        <v>8765</v>
      </c>
      <c r="D1257">
        <v>8608</v>
      </c>
      <c r="E1257">
        <v>8624</v>
      </c>
      <c r="F1257">
        <v>8721.4</v>
      </c>
    </row>
    <row r="1258" spans="1:6" x14ac:dyDescent="0.25">
      <c r="A1258" s="1">
        <v>40613</v>
      </c>
      <c r="B1258">
        <v>8552</v>
      </c>
      <c r="C1258">
        <v>8574</v>
      </c>
      <c r="D1258">
        <v>8481</v>
      </c>
      <c r="E1258">
        <v>8558</v>
      </c>
      <c r="F1258">
        <v>8681</v>
      </c>
    </row>
    <row r="1259" spans="1:6" x14ac:dyDescent="0.25">
      <c r="A1259" s="1">
        <v>40616</v>
      </c>
      <c r="B1259">
        <v>8538</v>
      </c>
      <c r="C1259">
        <v>8568</v>
      </c>
      <c r="D1259">
        <v>8366</v>
      </c>
      <c r="E1259">
        <v>8504</v>
      </c>
      <c r="F1259">
        <v>8637.2000000000007</v>
      </c>
    </row>
    <row r="1260" spans="1:6" x14ac:dyDescent="0.25">
      <c r="A1260" s="1">
        <v>40617</v>
      </c>
      <c r="B1260">
        <v>8508</v>
      </c>
      <c r="C1260">
        <v>8525</v>
      </c>
      <c r="D1260">
        <v>8027</v>
      </c>
      <c r="E1260">
        <v>8252</v>
      </c>
      <c r="F1260">
        <v>8539.4</v>
      </c>
    </row>
    <row r="1261" spans="1:6" x14ac:dyDescent="0.25">
      <c r="A1261" s="1">
        <v>40618</v>
      </c>
      <c r="B1261">
        <v>8400</v>
      </c>
      <c r="C1261">
        <v>8411</v>
      </c>
      <c r="D1261">
        <v>8263</v>
      </c>
      <c r="E1261">
        <v>8306</v>
      </c>
      <c r="F1261">
        <v>8448.7999999999993</v>
      </c>
    </row>
    <row r="1262" spans="1:6" x14ac:dyDescent="0.25">
      <c r="A1262" s="1">
        <v>40619</v>
      </c>
      <c r="B1262">
        <v>8173</v>
      </c>
      <c r="C1262">
        <v>8274</v>
      </c>
      <c r="D1262">
        <v>8129</v>
      </c>
      <c r="E1262">
        <v>8255</v>
      </c>
      <c r="F1262">
        <v>8375</v>
      </c>
    </row>
    <row r="1263" spans="1:6" x14ac:dyDescent="0.25">
      <c r="A1263" s="1">
        <v>40620</v>
      </c>
      <c r="B1263">
        <v>8307</v>
      </c>
      <c r="C1263">
        <v>8345</v>
      </c>
      <c r="D1263">
        <v>8270</v>
      </c>
      <c r="E1263">
        <v>8319</v>
      </c>
      <c r="F1263">
        <v>8327.2000000000007</v>
      </c>
    </row>
    <row r="1264" spans="1:6" x14ac:dyDescent="0.25">
      <c r="A1264" s="1">
        <v>40623</v>
      </c>
      <c r="B1264">
        <v>8345</v>
      </c>
      <c r="C1264">
        <v>8444</v>
      </c>
      <c r="D1264">
        <v>8329</v>
      </c>
      <c r="E1264">
        <v>8391</v>
      </c>
      <c r="F1264">
        <v>8304.6</v>
      </c>
    </row>
    <row r="1265" spans="1:6" x14ac:dyDescent="0.25">
      <c r="A1265" s="1">
        <v>40624</v>
      </c>
      <c r="B1265">
        <v>8430</v>
      </c>
      <c r="C1265">
        <v>8479</v>
      </c>
      <c r="D1265">
        <v>8415</v>
      </c>
      <c r="E1265">
        <v>8415</v>
      </c>
      <c r="F1265">
        <v>8337.2000000000007</v>
      </c>
    </row>
    <row r="1266" spans="1:6" x14ac:dyDescent="0.25">
      <c r="A1266" s="1">
        <v>40625</v>
      </c>
      <c r="B1266">
        <v>8405</v>
      </c>
      <c r="C1266">
        <v>8510</v>
      </c>
      <c r="D1266">
        <v>8393</v>
      </c>
      <c r="E1266">
        <v>8451</v>
      </c>
      <c r="F1266">
        <v>8366.2000000000007</v>
      </c>
    </row>
    <row r="1267" spans="1:6" x14ac:dyDescent="0.25">
      <c r="A1267" s="1">
        <v>40626</v>
      </c>
      <c r="B1267">
        <v>8505</v>
      </c>
      <c r="C1267">
        <v>8548</v>
      </c>
      <c r="D1267">
        <v>8480</v>
      </c>
      <c r="E1267">
        <v>8528</v>
      </c>
      <c r="F1267">
        <v>8420.7999999999993</v>
      </c>
    </row>
    <row r="1268" spans="1:6" x14ac:dyDescent="0.25">
      <c r="A1268" s="1">
        <v>40627</v>
      </c>
      <c r="B1268">
        <v>8584</v>
      </c>
      <c r="C1268">
        <v>8624</v>
      </c>
      <c r="D1268">
        <v>8548</v>
      </c>
      <c r="E1268">
        <v>8579</v>
      </c>
      <c r="F1268">
        <v>8472.7999999999993</v>
      </c>
    </row>
    <row r="1269" spans="1:6" x14ac:dyDescent="0.25">
      <c r="A1269" s="1">
        <v>40630</v>
      </c>
      <c r="B1269">
        <v>8579</v>
      </c>
      <c r="C1269">
        <v>8584</v>
      </c>
      <c r="D1269">
        <v>8495</v>
      </c>
      <c r="E1269">
        <v>8518</v>
      </c>
      <c r="F1269">
        <v>8498.2000000000007</v>
      </c>
    </row>
    <row r="1270" spans="1:6" x14ac:dyDescent="0.25">
      <c r="A1270" s="1">
        <v>40631</v>
      </c>
      <c r="B1270">
        <v>8498</v>
      </c>
      <c r="C1270">
        <v>8576</v>
      </c>
      <c r="D1270">
        <v>8475</v>
      </c>
      <c r="E1270">
        <v>8575</v>
      </c>
      <c r="F1270">
        <v>8530.2000000000007</v>
      </c>
    </row>
    <row r="1271" spans="1:6" x14ac:dyDescent="0.25">
      <c r="A1271" s="1">
        <v>40632</v>
      </c>
      <c r="B1271">
        <v>8600</v>
      </c>
      <c r="C1271">
        <v>8650</v>
      </c>
      <c r="D1271">
        <v>8583</v>
      </c>
      <c r="E1271">
        <v>8594</v>
      </c>
      <c r="F1271">
        <v>8558.7999999999993</v>
      </c>
    </row>
    <row r="1272" spans="1:6" x14ac:dyDescent="0.25">
      <c r="A1272" s="1">
        <v>40633</v>
      </c>
      <c r="B1272">
        <v>8606</v>
      </c>
      <c r="C1272">
        <v>8645</v>
      </c>
      <c r="D1272">
        <v>8557</v>
      </c>
      <c r="E1272">
        <v>8642</v>
      </c>
      <c r="F1272">
        <v>8581.6</v>
      </c>
    </row>
    <row r="1273" spans="1:6" x14ac:dyDescent="0.25">
      <c r="A1273" s="1">
        <v>40634</v>
      </c>
      <c r="B1273">
        <v>8640</v>
      </c>
      <c r="C1273">
        <v>8689</v>
      </c>
      <c r="D1273">
        <v>8630</v>
      </c>
      <c r="E1273">
        <v>8689</v>
      </c>
      <c r="F1273">
        <v>8603.6</v>
      </c>
    </row>
    <row r="1274" spans="1:6" x14ac:dyDescent="0.25">
      <c r="A1274" s="1">
        <v>40639</v>
      </c>
      <c r="B1274">
        <v>8727</v>
      </c>
      <c r="C1274">
        <v>8863</v>
      </c>
      <c r="D1274">
        <v>8726</v>
      </c>
      <c r="E1274">
        <v>8841</v>
      </c>
      <c r="F1274">
        <v>8668.2000000000007</v>
      </c>
    </row>
    <row r="1275" spans="1:6" x14ac:dyDescent="0.25">
      <c r="A1275" s="1">
        <v>40640</v>
      </c>
      <c r="B1275">
        <v>8874</v>
      </c>
      <c r="C1275">
        <v>8902</v>
      </c>
      <c r="D1275">
        <v>8825</v>
      </c>
      <c r="E1275">
        <v>8897</v>
      </c>
      <c r="F1275">
        <v>8732.6</v>
      </c>
    </row>
    <row r="1276" spans="1:6" x14ac:dyDescent="0.25">
      <c r="A1276" s="1">
        <v>40641</v>
      </c>
      <c r="B1276">
        <v>8897</v>
      </c>
      <c r="C1276">
        <v>8933</v>
      </c>
      <c r="D1276">
        <v>8850</v>
      </c>
      <c r="E1276">
        <v>8868</v>
      </c>
      <c r="F1276">
        <v>8787.4</v>
      </c>
    </row>
    <row r="1277" spans="1:6" x14ac:dyDescent="0.25">
      <c r="A1277" s="1">
        <v>40644</v>
      </c>
      <c r="B1277">
        <v>8854</v>
      </c>
      <c r="C1277">
        <v>8882</v>
      </c>
      <c r="D1277">
        <v>8821</v>
      </c>
      <c r="E1277">
        <v>8859</v>
      </c>
      <c r="F1277">
        <v>8830.7999999999993</v>
      </c>
    </row>
    <row r="1278" spans="1:6" x14ac:dyDescent="0.25">
      <c r="A1278" s="1">
        <v>40645</v>
      </c>
      <c r="B1278">
        <v>8820</v>
      </c>
      <c r="C1278">
        <v>8822</v>
      </c>
      <c r="D1278">
        <v>8703</v>
      </c>
      <c r="E1278">
        <v>8704</v>
      </c>
      <c r="F1278">
        <v>8833.7999999999993</v>
      </c>
    </row>
    <row r="1279" spans="1:6" x14ac:dyDescent="0.25">
      <c r="A1279" s="1">
        <v>40646</v>
      </c>
      <c r="B1279">
        <v>8707</v>
      </c>
      <c r="C1279">
        <v>8810</v>
      </c>
      <c r="D1279">
        <v>8696</v>
      </c>
      <c r="E1279">
        <v>8808</v>
      </c>
      <c r="F1279">
        <v>8827.2000000000007</v>
      </c>
    </row>
    <row r="1280" spans="1:6" x14ac:dyDescent="0.25">
      <c r="A1280" s="1">
        <v>40647</v>
      </c>
      <c r="B1280">
        <v>8795</v>
      </c>
      <c r="C1280">
        <v>8851</v>
      </c>
      <c r="D1280">
        <v>8751</v>
      </c>
      <c r="E1280">
        <v>8796</v>
      </c>
      <c r="F1280">
        <v>8807</v>
      </c>
    </row>
    <row r="1281" spans="1:6" x14ac:dyDescent="0.25">
      <c r="A1281" s="1">
        <v>40648</v>
      </c>
      <c r="B1281">
        <v>8788</v>
      </c>
      <c r="C1281">
        <v>8820</v>
      </c>
      <c r="D1281">
        <v>8681</v>
      </c>
      <c r="E1281">
        <v>8702</v>
      </c>
      <c r="F1281">
        <v>8773.7999999999993</v>
      </c>
    </row>
    <row r="1282" spans="1:6" x14ac:dyDescent="0.25">
      <c r="A1282" s="1">
        <v>40651</v>
      </c>
      <c r="B1282">
        <v>8686</v>
      </c>
      <c r="C1282">
        <v>8759</v>
      </c>
      <c r="D1282">
        <v>8675</v>
      </c>
      <c r="E1282">
        <v>8711</v>
      </c>
      <c r="F1282">
        <v>8744.2000000000007</v>
      </c>
    </row>
    <row r="1283" spans="1:6" x14ac:dyDescent="0.25">
      <c r="A1283" s="1">
        <v>40652</v>
      </c>
      <c r="B1283">
        <v>8652</v>
      </c>
      <c r="C1283">
        <v>8671</v>
      </c>
      <c r="D1283">
        <v>8585</v>
      </c>
      <c r="E1283">
        <v>8626</v>
      </c>
      <c r="F1283">
        <v>8728.6</v>
      </c>
    </row>
    <row r="1284" spans="1:6" x14ac:dyDescent="0.25">
      <c r="A1284" s="1">
        <v>40653</v>
      </c>
      <c r="B1284">
        <v>8694</v>
      </c>
      <c r="C1284">
        <v>8800</v>
      </c>
      <c r="D1284">
        <v>8694</v>
      </c>
      <c r="E1284">
        <v>8791</v>
      </c>
      <c r="F1284">
        <v>8725.2000000000007</v>
      </c>
    </row>
    <row r="1285" spans="1:6" x14ac:dyDescent="0.25">
      <c r="A1285" s="1">
        <v>40654</v>
      </c>
      <c r="B1285">
        <v>8888</v>
      </c>
      <c r="C1285">
        <v>9004</v>
      </c>
      <c r="D1285">
        <v>8878</v>
      </c>
      <c r="E1285">
        <v>8990</v>
      </c>
      <c r="F1285">
        <v>8764</v>
      </c>
    </row>
    <row r="1286" spans="1:6" x14ac:dyDescent="0.25">
      <c r="A1286" s="1">
        <v>40655</v>
      </c>
      <c r="B1286">
        <v>8990</v>
      </c>
      <c r="C1286">
        <v>9008</v>
      </c>
      <c r="D1286">
        <v>8972</v>
      </c>
      <c r="E1286">
        <v>8991</v>
      </c>
      <c r="F1286">
        <v>8821.7999999999993</v>
      </c>
    </row>
    <row r="1287" spans="1:6" x14ac:dyDescent="0.25">
      <c r="A1287" s="1">
        <v>40658</v>
      </c>
      <c r="B1287">
        <v>9002</v>
      </c>
      <c r="C1287">
        <v>9050</v>
      </c>
      <c r="D1287">
        <v>8943</v>
      </c>
      <c r="E1287">
        <v>8977</v>
      </c>
      <c r="F1287">
        <v>8875</v>
      </c>
    </row>
    <row r="1288" spans="1:6" x14ac:dyDescent="0.25">
      <c r="A1288" s="1">
        <v>40659</v>
      </c>
      <c r="B1288">
        <v>8927</v>
      </c>
      <c r="C1288">
        <v>8982</v>
      </c>
      <c r="D1288">
        <v>8870</v>
      </c>
      <c r="E1288">
        <v>8967</v>
      </c>
      <c r="F1288">
        <v>8943.2000000000007</v>
      </c>
    </row>
    <row r="1289" spans="1:6" x14ac:dyDescent="0.25">
      <c r="A1289" s="1">
        <v>40660</v>
      </c>
      <c r="B1289">
        <v>9050</v>
      </c>
      <c r="C1289">
        <v>9078</v>
      </c>
      <c r="D1289">
        <v>9031</v>
      </c>
      <c r="E1289">
        <v>9061</v>
      </c>
      <c r="F1289">
        <v>8997.2000000000007</v>
      </c>
    </row>
    <row r="1290" spans="1:6" x14ac:dyDescent="0.25">
      <c r="A1290" s="1">
        <v>40661</v>
      </c>
      <c r="B1290">
        <v>9093</v>
      </c>
      <c r="C1290">
        <v>9099</v>
      </c>
      <c r="D1290">
        <v>9006</v>
      </c>
      <c r="E1290">
        <v>9011</v>
      </c>
      <c r="F1290">
        <v>9001.4</v>
      </c>
    </row>
    <row r="1291" spans="1:6" x14ac:dyDescent="0.25">
      <c r="A1291" s="1">
        <v>40662</v>
      </c>
      <c r="B1291">
        <v>9011</v>
      </c>
      <c r="C1291">
        <v>9048</v>
      </c>
      <c r="D1291">
        <v>8931</v>
      </c>
      <c r="E1291">
        <v>9022</v>
      </c>
      <c r="F1291">
        <v>9007.6</v>
      </c>
    </row>
    <row r="1292" spans="1:6" x14ac:dyDescent="0.25">
      <c r="A1292" s="1">
        <v>40666</v>
      </c>
      <c r="B1292">
        <v>9039</v>
      </c>
      <c r="C1292">
        <v>9069</v>
      </c>
      <c r="D1292">
        <v>8896</v>
      </c>
      <c r="E1292">
        <v>8927</v>
      </c>
      <c r="F1292">
        <v>8997.6</v>
      </c>
    </row>
    <row r="1293" spans="1:6" x14ac:dyDescent="0.25">
      <c r="A1293" s="1">
        <v>40667</v>
      </c>
      <c r="B1293">
        <v>8905</v>
      </c>
      <c r="C1293">
        <v>8958</v>
      </c>
      <c r="D1293">
        <v>8861</v>
      </c>
      <c r="E1293">
        <v>8935</v>
      </c>
      <c r="F1293">
        <v>8991.2000000000007</v>
      </c>
    </row>
    <row r="1294" spans="1:6" x14ac:dyDescent="0.25">
      <c r="A1294" s="1">
        <v>40668</v>
      </c>
      <c r="B1294">
        <v>8903</v>
      </c>
      <c r="C1294">
        <v>9057</v>
      </c>
      <c r="D1294">
        <v>8885</v>
      </c>
      <c r="E1294">
        <v>9053</v>
      </c>
      <c r="F1294">
        <v>8989.6</v>
      </c>
    </row>
    <row r="1295" spans="1:6" x14ac:dyDescent="0.25">
      <c r="A1295" s="1">
        <v>40669</v>
      </c>
      <c r="B1295">
        <v>8980</v>
      </c>
      <c r="C1295">
        <v>9022</v>
      </c>
      <c r="D1295">
        <v>8957</v>
      </c>
      <c r="E1295">
        <v>9018</v>
      </c>
      <c r="F1295">
        <v>8991</v>
      </c>
    </row>
    <row r="1296" spans="1:6" x14ac:dyDescent="0.25">
      <c r="A1296" s="1">
        <v>40672</v>
      </c>
      <c r="B1296">
        <v>9022</v>
      </c>
      <c r="C1296">
        <v>9110</v>
      </c>
      <c r="D1296">
        <v>9001</v>
      </c>
      <c r="E1296">
        <v>9064</v>
      </c>
      <c r="F1296">
        <v>8999.4</v>
      </c>
    </row>
    <row r="1297" spans="1:6" x14ac:dyDescent="0.25">
      <c r="A1297" s="1">
        <v>40673</v>
      </c>
      <c r="B1297">
        <v>9060</v>
      </c>
      <c r="C1297">
        <v>9072</v>
      </c>
      <c r="D1297">
        <v>9026</v>
      </c>
      <c r="E1297">
        <v>9045</v>
      </c>
      <c r="F1297">
        <v>9023</v>
      </c>
    </row>
    <row r="1298" spans="1:6" x14ac:dyDescent="0.25">
      <c r="A1298" s="1">
        <v>40674</v>
      </c>
      <c r="B1298">
        <v>9100</v>
      </c>
      <c r="C1298">
        <v>9118</v>
      </c>
      <c r="D1298">
        <v>9013</v>
      </c>
      <c r="E1298">
        <v>9021</v>
      </c>
      <c r="F1298">
        <v>9040.2000000000007</v>
      </c>
    </row>
    <row r="1299" spans="1:6" x14ac:dyDescent="0.25">
      <c r="A1299" s="1">
        <v>40675</v>
      </c>
      <c r="B1299">
        <v>8951</v>
      </c>
      <c r="C1299">
        <v>9067</v>
      </c>
      <c r="D1299">
        <v>8943</v>
      </c>
      <c r="E1299">
        <v>9030</v>
      </c>
      <c r="F1299">
        <v>9035.6</v>
      </c>
    </row>
    <row r="1300" spans="1:6" x14ac:dyDescent="0.25">
      <c r="A1300" s="1">
        <v>40676</v>
      </c>
      <c r="B1300">
        <v>9028</v>
      </c>
      <c r="C1300">
        <v>9063</v>
      </c>
      <c r="D1300">
        <v>9000</v>
      </c>
      <c r="E1300">
        <v>9028</v>
      </c>
      <c r="F1300">
        <v>9037.6</v>
      </c>
    </row>
    <row r="1301" spans="1:6" x14ac:dyDescent="0.25">
      <c r="A1301" s="1">
        <v>40679</v>
      </c>
      <c r="B1301">
        <v>8984</v>
      </c>
      <c r="C1301">
        <v>9026</v>
      </c>
      <c r="D1301">
        <v>8915</v>
      </c>
      <c r="E1301">
        <v>8926</v>
      </c>
      <c r="F1301">
        <v>9010</v>
      </c>
    </row>
    <row r="1302" spans="1:6" x14ac:dyDescent="0.25">
      <c r="A1302" s="1">
        <v>40680</v>
      </c>
      <c r="B1302">
        <v>8916</v>
      </c>
      <c r="C1302">
        <v>8936</v>
      </c>
      <c r="D1302">
        <v>8847</v>
      </c>
      <c r="E1302">
        <v>8916</v>
      </c>
      <c r="F1302">
        <v>8984.2000000000007</v>
      </c>
    </row>
    <row r="1303" spans="1:6" x14ac:dyDescent="0.25">
      <c r="A1303" s="1">
        <v>40681</v>
      </c>
      <c r="B1303">
        <v>8920</v>
      </c>
      <c r="C1303">
        <v>8947</v>
      </c>
      <c r="D1303">
        <v>8896</v>
      </c>
      <c r="E1303">
        <v>8932</v>
      </c>
      <c r="F1303">
        <v>8966.4</v>
      </c>
    </row>
    <row r="1304" spans="1:6" x14ac:dyDescent="0.25">
      <c r="A1304" s="1">
        <v>40682</v>
      </c>
      <c r="B1304">
        <v>8964</v>
      </c>
      <c r="C1304">
        <v>9043</v>
      </c>
      <c r="D1304">
        <v>8837</v>
      </c>
      <c r="E1304">
        <v>8840</v>
      </c>
      <c r="F1304">
        <v>8928.4</v>
      </c>
    </row>
    <row r="1305" spans="1:6" x14ac:dyDescent="0.25">
      <c r="A1305" s="1">
        <v>40683</v>
      </c>
      <c r="B1305">
        <v>8881</v>
      </c>
      <c r="C1305">
        <v>8915</v>
      </c>
      <c r="D1305">
        <v>8806</v>
      </c>
      <c r="E1305">
        <v>8815</v>
      </c>
      <c r="F1305">
        <v>8885.7999999999993</v>
      </c>
    </row>
    <row r="1306" spans="1:6" x14ac:dyDescent="0.25">
      <c r="A1306" s="1">
        <v>40686</v>
      </c>
      <c r="B1306">
        <v>8752</v>
      </c>
      <c r="C1306">
        <v>8772</v>
      </c>
      <c r="D1306">
        <v>8669</v>
      </c>
      <c r="E1306">
        <v>8736</v>
      </c>
      <c r="F1306">
        <v>8847.7999999999993</v>
      </c>
    </row>
    <row r="1307" spans="1:6" x14ac:dyDescent="0.25">
      <c r="A1307" s="1">
        <v>40687</v>
      </c>
      <c r="B1307">
        <v>8720</v>
      </c>
      <c r="C1307">
        <v>8767</v>
      </c>
      <c r="D1307">
        <v>8660</v>
      </c>
      <c r="E1307">
        <v>8766</v>
      </c>
      <c r="F1307">
        <v>8817.7999999999993</v>
      </c>
    </row>
    <row r="1308" spans="1:6" x14ac:dyDescent="0.25">
      <c r="A1308" s="1">
        <v>40688</v>
      </c>
      <c r="B1308">
        <v>8748</v>
      </c>
      <c r="C1308">
        <v>8750</v>
      </c>
      <c r="D1308">
        <v>8651</v>
      </c>
      <c r="E1308">
        <v>8680</v>
      </c>
      <c r="F1308">
        <v>8767.4</v>
      </c>
    </row>
    <row r="1309" spans="1:6" x14ac:dyDescent="0.25">
      <c r="A1309" s="1">
        <v>40689</v>
      </c>
      <c r="B1309">
        <v>8755</v>
      </c>
      <c r="C1309">
        <v>8795</v>
      </c>
      <c r="D1309">
        <v>8720</v>
      </c>
      <c r="E1309">
        <v>8787</v>
      </c>
      <c r="F1309">
        <v>8756.7999999999993</v>
      </c>
    </row>
    <row r="1310" spans="1:6" x14ac:dyDescent="0.25">
      <c r="A1310" s="1">
        <v>40690</v>
      </c>
      <c r="B1310">
        <v>8780</v>
      </c>
      <c r="C1310">
        <v>8854</v>
      </c>
      <c r="D1310">
        <v>8769</v>
      </c>
      <c r="E1310">
        <v>8779</v>
      </c>
      <c r="F1310">
        <v>8749.6</v>
      </c>
    </row>
    <row r="1311" spans="1:6" x14ac:dyDescent="0.25">
      <c r="A1311" s="1">
        <v>40693</v>
      </c>
      <c r="B1311">
        <v>8767</v>
      </c>
      <c r="C1311">
        <v>8826</v>
      </c>
      <c r="D1311">
        <v>8709</v>
      </c>
      <c r="E1311">
        <v>8819</v>
      </c>
      <c r="F1311">
        <v>8766.2000000000007</v>
      </c>
    </row>
    <row r="1312" spans="1:6" x14ac:dyDescent="0.25">
      <c r="A1312" s="1">
        <v>40694</v>
      </c>
      <c r="B1312">
        <v>8858</v>
      </c>
      <c r="C1312">
        <v>9035</v>
      </c>
      <c r="D1312">
        <v>8856</v>
      </c>
      <c r="E1312">
        <v>9022</v>
      </c>
      <c r="F1312">
        <v>8817.4</v>
      </c>
    </row>
    <row r="1313" spans="1:6" x14ac:dyDescent="0.25">
      <c r="A1313" s="1">
        <v>40695</v>
      </c>
      <c r="B1313">
        <v>9028</v>
      </c>
      <c r="C1313">
        <v>9106</v>
      </c>
      <c r="D1313">
        <v>9007</v>
      </c>
      <c r="E1313">
        <v>9091</v>
      </c>
      <c r="F1313">
        <v>8899.6</v>
      </c>
    </row>
    <row r="1314" spans="1:6" x14ac:dyDescent="0.25">
      <c r="A1314" s="1">
        <v>40696</v>
      </c>
      <c r="B1314">
        <v>8997</v>
      </c>
      <c r="C1314">
        <v>9057</v>
      </c>
      <c r="D1314">
        <v>8975</v>
      </c>
      <c r="E1314">
        <v>9031</v>
      </c>
      <c r="F1314">
        <v>8948.4</v>
      </c>
    </row>
    <row r="1315" spans="1:6" x14ac:dyDescent="0.25">
      <c r="A1315" s="1">
        <v>40697</v>
      </c>
      <c r="B1315">
        <v>9050</v>
      </c>
      <c r="C1315">
        <v>9078</v>
      </c>
      <c r="D1315">
        <v>8999</v>
      </c>
      <c r="E1315">
        <v>9072</v>
      </c>
      <c r="F1315">
        <v>9007</v>
      </c>
    </row>
    <row r="1316" spans="1:6" x14ac:dyDescent="0.25">
      <c r="A1316" s="1">
        <v>40701</v>
      </c>
      <c r="B1316">
        <v>9035</v>
      </c>
      <c r="C1316">
        <v>9092</v>
      </c>
      <c r="D1316">
        <v>8973</v>
      </c>
      <c r="E1316">
        <v>9091</v>
      </c>
      <c r="F1316">
        <v>9061.4</v>
      </c>
    </row>
    <row r="1317" spans="1:6" x14ac:dyDescent="0.25">
      <c r="A1317" s="1">
        <v>40702</v>
      </c>
      <c r="B1317">
        <v>9078</v>
      </c>
      <c r="C1317">
        <v>9087</v>
      </c>
      <c r="D1317">
        <v>9003</v>
      </c>
      <c r="E1317">
        <v>9031</v>
      </c>
      <c r="F1317">
        <v>9063.2000000000007</v>
      </c>
    </row>
    <row r="1318" spans="1:6" x14ac:dyDescent="0.25">
      <c r="A1318" s="1">
        <v>40703</v>
      </c>
      <c r="B1318">
        <v>9005</v>
      </c>
      <c r="C1318">
        <v>9049</v>
      </c>
      <c r="D1318">
        <v>8993</v>
      </c>
      <c r="E1318">
        <v>9031</v>
      </c>
      <c r="F1318">
        <v>9051.2000000000007</v>
      </c>
    </row>
    <row r="1319" spans="1:6" x14ac:dyDescent="0.25">
      <c r="A1319" s="1">
        <v>40704</v>
      </c>
      <c r="B1319">
        <v>9060</v>
      </c>
      <c r="C1319">
        <v>9070</v>
      </c>
      <c r="D1319">
        <v>8812</v>
      </c>
      <c r="E1319">
        <v>8825</v>
      </c>
      <c r="F1319">
        <v>9010</v>
      </c>
    </row>
    <row r="1320" spans="1:6" x14ac:dyDescent="0.25">
      <c r="A1320" s="1">
        <v>40707</v>
      </c>
      <c r="B1320">
        <v>8783</v>
      </c>
      <c r="C1320">
        <v>8806</v>
      </c>
      <c r="D1320">
        <v>8682</v>
      </c>
      <c r="E1320">
        <v>8742</v>
      </c>
      <c r="F1320">
        <v>8944</v>
      </c>
    </row>
    <row r="1321" spans="1:6" x14ac:dyDescent="0.25">
      <c r="A1321" s="1">
        <v>40708</v>
      </c>
      <c r="B1321">
        <v>8748</v>
      </c>
      <c r="C1321">
        <v>8848</v>
      </c>
      <c r="D1321">
        <v>8733</v>
      </c>
      <c r="E1321">
        <v>8848</v>
      </c>
      <c r="F1321">
        <v>8895.4</v>
      </c>
    </row>
    <row r="1322" spans="1:6" x14ac:dyDescent="0.25">
      <c r="A1322" s="1">
        <v>40709</v>
      </c>
      <c r="B1322">
        <v>8840</v>
      </c>
      <c r="C1322">
        <v>8877</v>
      </c>
      <c r="D1322">
        <v>8731</v>
      </c>
      <c r="E1322">
        <v>8840</v>
      </c>
      <c r="F1322">
        <v>8857.2000000000007</v>
      </c>
    </row>
    <row r="1323" spans="1:6" x14ac:dyDescent="0.25">
      <c r="A1323" s="1">
        <v>40710</v>
      </c>
      <c r="B1323">
        <v>8547</v>
      </c>
      <c r="C1323">
        <v>8558</v>
      </c>
      <c r="D1323">
        <v>8481</v>
      </c>
      <c r="E1323">
        <v>8493</v>
      </c>
      <c r="F1323">
        <v>8749.6</v>
      </c>
    </row>
    <row r="1324" spans="1:6" x14ac:dyDescent="0.25">
      <c r="A1324" s="1">
        <v>40711</v>
      </c>
      <c r="B1324">
        <v>8494</v>
      </c>
      <c r="C1324">
        <v>8543</v>
      </c>
      <c r="D1324">
        <v>8436</v>
      </c>
      <c r="E1324">
        <v>8462</v>
      </c>
      <c r="F1324">
        <v>8677</v>
      </c>
    </row>
    <row r="1325" spans="1:6" x14ac:dyDescent="0.25">
      <c r="A1325" s="1">
        <v>40714</v>
      </c>
      <c r="B1325">
        <v>8500</v>
      </c>
      <c r="C1325">
        <v>8525</v>
      </c>
      <c r="D1325">
        <v>8366</v>
      </c>
      <c r="E1325">
        <v>8400</v>
      </c>
      <c r="F1325">
        <v>8608.6</v>
      </c>
    </row>
    <row r="1326" spans="1:6" x14ac:dyDescent="0.25">
      <c r="A1326" s="1">
        <v>40715</v>
      </c>
      <c r="B1326">
        <v>8461</v>
      </c>
      <c r="C1326">
        <v>8485</v>
      </c>
      <c r="D1326">
        <v>8400</v>
      </c>
      <c r="E1326">
        <v>8465</v>
      </c>
      <c r="F1326">
        <v>8532</v>
      </c>
    </row>
    <row r="1327" spans="1:6" x14ac:dyDescent="0.25">
      <c r="A1327" s="1">
        <v>40716</v>
      </c>
      <c r="B1327">
        <v>8513</v>
      </c>
      <c r="C1327">
        <v>8525</v>
      </c>
      <c r="D1327">
        <v>8416</v>
      </c>
      <c r="E1327">
        <v>8441</v>
      </c>
      <c r="F1327">
        <v>8452.2000000000007</v>
      </c>
    </row>
    <row r="1328" spans="1:6" x14ac:dyDescent="0.25">
      <c r="A1328" s="1">
        <v>40717</v>
      </c>
      <c r="B1328">
        <v>8422</v>
      </c>
      <c r="C1328">
        <v>8473</v>
      </c>
      <c r="D1328">
        <v>8388</v>
      </c>
      <c r="E1328">
        <v>8394</v>
      </c>
      <c r="F1328">
        <v>8432.4</v>
      </c>
    </row>
    <row r="1329" spans="1:6" x14ac:dyDescent="0.25">
      <c r="A1329" s="1">
        <v>40718</v>
      </c>
      <c r="B1329">
        <v>8420</v>
      </c>
      <c r="C1329">
        <v>8431</v>
      </c>
      <c r="D1329">
        <v>8365</v>
      </c>
      <c r="E1329">
        <v>8409</v>
      </c>
      <c r="F1329">
        <v>8421.7999999999993</v>
      </c>
    </row>
    <row r="1330" spans="1:6" x14ac:dyDescent="0.25">
      <c r="A1330" s="1">
        <v>40721</v>
      </c>
      <c r="B1330">
        <v>8327</v>
      </c>
      <c r="C1330">
        <v>8373</v>
      </c>
      <c r="D1330">
        <v>8260</v>
      </c>
      <c r="E1330">
        <v>8334</v>
      </c>
      <c r="F1330">
        <v>8408.6</v>
      </c>
    </row>
    <row r="1331" spans="1:6" x14ac:dyDescent="0.25">
      <c r="A1331" s="1">
        <v>40722</v>
      </c>
      <c r="B1331">
        <v>8383</v>
      </c>
      <c r="C1331">
        <v>8396</v>
      </c>
      <c r="D1331">
        <v>8305</v>
      </c>
      <c r="E1331">
        <v>8309</v>
      </c>
      <c r="F1331">
        <v>8377.4</v>
      </c>
    </row>
    <row r="1332" spans="1:6" x14ac:dyDescent="0.25">
      <c r="A1332" s="1">
        <v>40723</v>
      </c>
      <c r="B1332">
        <v>8370</v>
      </c>
      <c r="C1332">
        <v>8485</v>
      </c>
      <c r="D1332">
        <v>8353</v>
      </c>
      <c r="E1332">
        <v>8474</v>
      </c>
      <c r="F1332">
        <v>8384</v>
      </c>
    </row>
    <row r="1333" spans="1:6" x14ac:dyDescent="0.25">
      <c r="A1333" s="1">
        <v>40724</v>
      </c>
      <c r="B1333">
        <v>8475</v>
      </c>
      <c r="C1333">
        <v>8528</v>
      </c>
      <c r="D1333">
        <v>8456</v>
      </c>
      <c r="E1333">
        <v>8506</v>
      </c>
      <c r="F1333">
        <v>8406.4</v>
      </c>
    </row>
    <row r="1334" spans="1:6" x14ac:dyDescent="0.25">
      <c r="A1334" s="1">
        <v>40725</v>
      </c>
      <c r="B1334">
        <v>8558</v>
      </c>
      <c r="C1334">
        <v>8615</v>
      </c>
      <c r="D1334">
        <v>8544</v>
      </c>
      <c r="E1334">
        <v>8567</v>
      </c>
      <c r="F1334">
        <v>8438</v>
      </c>
    </row>
    <row r="1335" spans="1:6" x14ac:dyDescent="0.25">
      <c r="A1335" s="1">
        <v>40728</v>
      </c>
      <c r="B1335">
        <v>8625</v>
      </c>
      <c r="C1335">
        <v>8656</v>
      </c>
      <c r="D1335">
        <v>8598</v>
      </c>
      <c r="E1335">
        <v>8600</v>
      </c>
      <c r="F1335">
        <v>8491.2000000000007</v>
      </c>
    </row>
    <row r="1336" spans="1:6" x14ac:dyDescent="0.25">
      <c r="A1336" s="1">
        <v>40729</v>
      </c>
      <c r="B1336">
        <v>8614</v>
      </c>
      <c r="C1336">
        <v>8631</v>
      </c>
      <c r="D1336">
        <v>8585</v>
      </c>
      <c r="E1336">
        <v>8630</v>
      </c>
      <c r="F1336">
        <v>8555.4</v>
      </c>
    </row>
    <row r="1337" spans="1:6" x14ac:dyDescent="0.25">
      <c r="A1337" s="1">
        <v>40730</v>
      </c>
      <c r="B1337">
        <v>8625</v>
      </c>
      <c r="C1337">
        <v>8714</v>
      </c>
      <c r="D1337">
        <v>8622</v>
      </c>
      <c r="E1337">
        <v>8692</v>
      </c>
      <c r="F1337">
        <v>8599</v>
      </c>
    </row>
    <row r="1338" spans="1:6" x14ac:dyDescent="0.25">
      <c r="A1338" s="1">
        <v>40731</v>
      </c>
      <c r="B1338">
        <v>8690</v>
      </c>
      <c r="C1338">
        <v>8713</v>
      </c>
      <c r="D1338">
        <v>8665</v>
      </c>
      <c r="E1338">
        <v>8691</v>
      </c>
      <c r="F1338">
        <v>8636</v>
      </c>
    </row>
    <row r="1339" spans="1:6" x14ac:dyDescent="0.25">
      <c r="A1339" s="1">
        <v>40732</v>
      </c>
      <c r="B1339">
        <v>8701</v>
      </c>
      <c r="C1339">
        <v>8767</v>
      </c>
      <c r="D1339">
        <v>8636</v>
      </c>
      <c r="E1339">
        <v>8642</v>
      </c>
      <c r="F1339">
        <v>8651</v>
      </c>
    </row>
    <row r="1340" spans="1:6" x14ac:dyDescent="0.25">
      <c r="A1340" s="1">
        <v>40735</v>
      </c>
      <c r="B1340">
        <v>8606</v>
      </c>
      <c r="C1340">
        <v>8630</v>
      </c>
      <c r="D1340">
        <v>8574</v>
      </c>
      <c r="E1340">
        <v>8601</v>
      </c>
      <c r="F1340">
        <v>8651.2000000000007</v>
      </c>
    </row>
    <row r="1341" spans="1:6" x14ac:dyDescent="0.25">
      <c r="A1341" s="1">
        <v>40736</v>
      </c>
      <c r="B1341">
        <v>8517</v>
      </c>
      <c r="C1341">
        <v>8538</v>
      </c>
      <c r="D1341">
        <v>8413</v>
      </c>
      <c r="E1341">
        <v>8418</v>
      </c>
      <c r="F1341">
        <v>8608.7999999999993</v>
      </c>
    </row>
    <row r="1342" spans="1:6" x14ac:dyDescent="0.25">
      <c r="A1342" s="1">
        <v>40737</v>
      </c>
      <c r="B1342">
        <v>8434</v>
      </c>
      <c r="C1342">
        <v>8483</v>
      </c>
      <c r="D1342">
        <v>8410</v>
      </c>
      <c r="E1342">
        <v>8462</v>
      </c>
      <c r="F1342">
        <v>8562.7999999999993</v>
      </c>
    </row>
    <row r="1343" spans="1:6" x14ac:dyDescent="0.25">
      <c r="A1343" s="1">
        <v>40738</v>
      </c>
      <c r="B1343">
        <v>8433</v>
      </c>
      <c r="C1343">
        <v>8506</v>
      </c>
      <c r="D1343">
        <v>8360</v>
      </c>
      <c r="E1343">
        <v>8479</v>
      </c>
      <c r="F1343">
        <v>8520.4</v>
      </c>
    </row>
    <row r="1344" spans="1:6" x14ac:dyDescent="0.25">
      <c r="A1344" s="1">
        <v>40739</v>
      </c>
      <c r="B1344">
        <v>8477</v>
      </c>
      <c r="C1344">
        <v>8570</v>
      </c>
      <c r="D1344">
        <v>8451</v>
      </c>
      <c r="E1344">
        <v>8562</v>
      </c>
      <c r="F1344">
        <v>8504.4</v>
      </c>
    </row>
    <row r="1345" spans="1:6" x14ac:dyDescent="0.25">
      <c r="A1345" s="1">
        <v>40742</v>
      </c>
      <c r="B1345">
        <v>8520</v>
      </c>
      <c r="C1345">
        <v>8592</v>
      </c>
      <c r="D1345">
        <v>8470</v>
      </c>
      <c r="E1345">
        <v>8486</v>
      </c>
      <c r="F1345">
        <v>8481.4</v>
      </c>
    </row>
    <row r="1346" spans="1:6" x14ac:dyDescent="0.25">
      <c r="A1346" s="1">
        <v>40743</v>
      </c>
      <c r="B1346">
        <v>8500</v>
      </c>
      <c r="C1346">
        <v>8545</v>
      </c>
      <c r="D1346">
        <v>8487</v>
      </c>
      <c r="E1346">
        <v>8534</v>
      </c>
      <c r="F1346">
        <v>8504.6</v>
      </c>
    </row>
    <row r="1347" spans="1:6" x14ac:dyDescent="0.25">
      <c r="A1347" s="1">
        <v>40744</v>
      </c>
      <c r="B1347">
        <v>8615</v>
      </c>
      <c r="C1347">
        <v>8709</v>
      </c>
      <c r="D1347">
        <v>8611</v>
      </c>
      <c r="E1347">
        <v>8697</v>
      </c>
      <c r="F1347">
        <v>8551.6</v>
      </c>
    </row>
    <row r="1348" spans="1:6" x14ac:dyDescent="0.25">
      <c r="A1348" s="1">
        <v>40745</v>
      </c>
      <c r="B1348">
        <v>8631</v>
      </c>
      <c r="C1348">
        <v>8654</v>
      </c>
      <c r="D1348">
        <v>8613</v>
      </c>
      <c r="E1348">
        <v>8653</v>
      </c>
      <c r="F1348">
        <v>8586.4</v>
      </c>
    </row>
    <row r="1349" spans="1:6" x14ac:dyDescent="0.25">
      <c r="A1349" s="1">
        <v>40746</v>
      </c>
      <c r="B1349">
        <v>8710</v>
      </c>
      <c r="C1349">
        <v>8740</v>
      </c>
      <c r="D1349">
        <v>8681</v>
      </c>
      <c r="E1349">
        <v>8692</v>
      </c>
      <c r="F1349">
        <v>8612.4</v>
      </c>
    </row>
    <row r="1350" spans="1:6" x14ac:dyDescent="0.25">
      <c r="A1350" s="1">
        <v>40749</v>
      </c>
      <c r="B1350">
        <v>8658</v>
      </c>
      <c r="C1350">
        <v>8688</v>
      </c>
      <c r="D1350">
        <v>8587</v>
      </c>
      <c r="E1350">
        <v>8605</v>
      </c>
      <c r="F1350">
        <v>8636.2000000000007</v>
      </c>
    </row>
    <row r="1351" spans="1:6" x14ac:dyDescent="0.25">
      <c r="A1351" s="1">
        <v>40750</v>
      </c>
      <c r="B1351">
        <v>8627</v>
      </c>
      <c r="C1351">
        <v>8744</v>
      </c>
      <c r="D1351">
        <v>8627</v>
      </c>
      <c r="E1351">
        <v>8735</v>
      </c>
      <c r="F1351">
        <v>8676.4</v>
      </c>
    </row>
    <row r="1352" spans="1:6" x14ac:dyDescent="0.25">
      <c r="A1352" s="1">
        <v>40751</v>
      </c>
      <c r="B1352">
        <v>8711</v>
      </c>
      <c r="C1352">
        <v>8770</v>
      </c>
      <c r="D1352">
        <v>8707</v>
      </c>
      <c r="E1352">
        <v>8763</v>
      </c>
      <c r="F1352">
        <v>8689.6</v>
      </c>
    </row>
    <row r="1353" spans="1:6" x14ac:dyDescent="0.25">
      <c r="A1353" s="1">
        <v>40752</v>
      </c>
      <c r="B1353">
        <v>8695</v>
      </c>
      <c r="C1353">
        <v>8734</v>
      </c>
      <c r="D1353">
        <v>8661</v>
      </c>
      <c r="E1353">
        <v>8728</v>
      </c>
      <c r="F1353">
        <v>8704.6</v>
      </c>
    </row>
    <row r="1354" spans="1:6" x14ac:dyDescent="0.25">
      <c r="A1354" s="1">
        <v>40753</v>
      </c>
      <c r="B1354">
        <v>8701</v>
      </c>
      <c r="C1354">
        <v>8725</v>
      </c>
      <c r="D1354">
        <v>8592</v>
      </c>
      <c r="E1354">
        <v>8613</v>
      </c>
      <c r="F1354">
        <v>8688.7999999999993</v>
      </c>
    </row>
    <row r="1355" spans="1:6" x14ac:dyDescent="0.25">
      <c r="A1355" s="1">
        <v>40756</v>
      </c>
      <c r="B1355">
        <v>8708</v>
      </c>
      <c r="C1355">
        <v>8729</v>
      </c>
      <c r="D1355">
        <v>8655</v>
      </c>
      <c r="E1355">
        <v>8682</v>
      </c>
      <c r="F1355">
        <v>8704.2000000000007</v>
      </c>
    </row>
    <row r="1356" spans="1:6" x14ac:dyDescent="0.25">
      <c r="A1356" s="1">
        <v>40757</v>
      </c>
      <c r="B1356">
        <v>8605</v>
      </c>
      <c r="C1356">
        <v>8611</v>
      </c>
      <c r="D1356">
        <v>8535</v>
      </c>
      <c r="E1356">
        <v>8570</v>
      </c>
      <c r="F1356">
        <v>8671.2000000000007</v>
      </c>
    </row>
    <row r="1357" spans="1:6" x14ac:dyDescent="0.25">
      <c r="A1357" s="1">
        <v>40758</v>
      </c>
      <c r="B1357">
        <v>8405</v>
      </c>
      <c r="C1357">
        <v>8454</v>
      </c>
      <c r="D1357">
        <v>8368</v>
      </c>
      <c r="E1357">
        <v>8436</v>
      </c>
      <c r="F1357">
        <v>8605.7999999999993</v>
      </c>
    </row>
    <row r="1358" spans="1:6" x14ac:dyDescent="0.25">
      <c r="A1358" s="1">
        <v>40759</v>
      </c>
      <c r="B1358">
        <v>8431</v>
      </c>
      <c r="C1358">
        <v>8488</v>
      </c>
      <c r="D1358">
        <v>8278</v>
      </c>
      <c r="E1358">
        <v>8291</v>
      </c>
      <c r="F1358">
        <v>8518.4</v>
      </c>
    </row>
    <row r="1359" spans="1:6" x14ac:dyDescent="0.25">
      <c r="A1359" s="1">
        <v>40760</v>
      </c>
      <c r="B1359">
        <v>7709</v>
      </c>
      <c r="C1359">
        <v>7988</v>
      </c>
      <c r="D1359">
        <v>7709</v>
      </c>
      <c r="E1359">
        <v>7765</v>
      </c>
      <c r="F1359">
        <v>8348.7999999999993</v>
      </c>
    </row>
    <row r="1360" spans="1:6" x14ac:dyDescent="0.25">
      <c r="A1360" s="1">
        <v>40763</v>
      </c>
      <c r="B1360">
        <v>7750</v>
      </c>
      <c r="C1360">
        <v>7770</v>
      </c>
      <c r="D1360">
        <v>7260</v>
      </c>
      <c r="E1360">
        <v>7559</v>
      </c>
      <c r="F1360">
        <v>8124.2</v>
      </c>
    </row>
    <row r="1361" spans="1:6" x14ac:dyDescent="0.25">
      <c r="A1361" s="1">
        <v>40764</v>
      </c>
      <c r="B1361">
        <v>7250</v>
      </c>
      <c r="C1361">
        <v>7606</v>
      </c>
      <c r="D1361">
        <v>7092</v>
      </c>
      <c r="E1361">
        <v>7531</v>
      </c>
      <c r="F1361">
        <v>7916.4</v>
      </c>
    </row>
    <row r="1362" spans="1:6" x14ac:dyDescent="0.25">
      <c r="A1362" s="1">
        <v>40765</v>
      </c>
      <c r="B1362">
        <v>7640</v>
      </c>
      <c r="C1362">
        <v>7698</v>
      </c>
      <c r="D1362">
        <v>7582</v>
      </c>
      <c r="E1362">
        <v>7664</v>
      </c>
      <c r="F1362">
        <v>7762</v>
      </c>
    </row>
    <row r="1363" spans="1:6" x14ac:dyDescent="0.25">
      <c r="A1363" s="1">
        <v>40766</v>
      </c>
      <c r="B1363">
        <v>7560</v>
      </c>
      <c r="C1363">
        <v>7748</v>
      </c>
      <c r="D1363">
        <v>7462</v>
      </c>
      <c r="E1363">
        <v>7702</v>
      </c>
      <c r="F1363">
        <v>7644.2</v>
      </c>
    </row>
    <row r="1364" spans="1:6" x14ac:dyDescent="0.25">
      <c r="A1364" s="1">
        <v>40767</v>
      </c>
      <c r="B1364">
        <v>7748</v>
      </c>
      <c r="C1364">
        <v>7794</v>
      </c>
      <c r="D1364">
        <v>7565</v>
      </c>
      <c r="E1364">
        <v>7586</v>
      </c>
      <c r="F1364">
        <v>7608.4</v>
      </c>
    </row>
    <row r="1365" spans="1:6" x14ac:dyDescent="0.25">
      <c r="A1365" s="1">
        <v>40770</v>
      </c>
      <c r="B1365">
        <v>7683</v>
      </c>
      <c r="C1365">
        <v>7831</v>
      </c>
      <c r="D1365">
        <v>7683</v>
      </c>
      <c r="E1365">
        <v>7823</v>
      </c>
      <c r="F1365">
        <v>7661.2</v>
      </c>
    </row>
    <row r="1366" spans="1:6" x14ac:dyDescent="0.25">
      <c r="A1366" s="1">
        <v>40771</v>
      </c>
      <c r="B1366">
        <v>7853</v>
      </c>
      <c r="C1366">
        <v>7875</v>
      </c>
      <c r="D1366">
        <v>7734</v>
      </c>
      <c r="E1366">
        <v>7771</v>
      </c>
      <c r="F1366">
        <v>7709.2</v>
      </c>
    </row>
    <row r="1367" spans="1:6" x14ac:dyDescent="0.25">
      <c r="A1367" s="1">
        <v>40772</v>
      </c>
      <c r="B1367">
        <v>7750</v>
      </c>
      <c r="C1367">
        <v>7824</v>
      </c>
      <c r="D1367">
        <v>7718</v>
      </c>
      <c r="E1367">
        <v>7753</v>
      </c>
      <c r="F1367">
        <v>7727</v>
      </c>
    </row>
    <row r="1368" spans="1:6" x14ac:dyDescent="0.25">
      <c r="A1368" s="1">
        <v>40773</v>
      </c>
      <c r="B1368">
        <v>7594</v>
      </c>
      <c r="C1368">
        <v>7595</v>
      </c>
      <c r="D1368">
        <v>7447</v>
      </c>
      <c r="E1368">
        <v>7499</v>
      </c>
      <c r="F1368">
        <v>7686.4</v>
      </c>
    </row>
    <row r="1369" spans="1:6" x14ac:dyDescent="0.25">
      <c r="A1369" s="1">
        <v>40774</v>
      </c>
      <c r="B1369">
        <v>7266</v>
      </c>
      <c r="C1369">
        <v>7356</v>
      </c>
      <c r="D1369">
        <v>7190</v>
      </c>
      <c r="E1369">
        <v>7190</v>
      </c>
      <c r="F1369">
        <v>7607.2</v>
      </c>
    </row>
    <row r="1370" spans="1:6" x14ac:dyDescent="0.25">
      <c r="A1370" s="1">
        <v>40777</v>
      </c>
      <c r="B1370">
        <v>7189</v>
      </c>
      <c r="C1370">
        <v>7433</v>
      </c>
      <c r="D1370">
        <v>7161</v>
      </c>
      <c r="E1370">
        <v>7254</v>
      </c>
      <c r="F1370">
        <v>7493.4</v>
      </c>
    </row>
    <row r="1371" spans="1:6" x14ac:dyDescent="0.25">
      <c r="A1371" s="1">
        <v>40778</v>
      </c>
      <c r="B1371">
        <v>7310</v>
      </c>
      <c r="C1371">
        <v>7543</v>
      </c>
      <c r="D1371">
        <v>7296</v>
      </c>
      <c r="E1371">
        <v>7511</v>
      </c>
      <c r="F1371">
        <v>7441.4</v>
      </c>
    </row>
    <row r="1372" spans="1:6" x14ac:dyDescent="0.25">
      <c r="A1372" s="1">
        <v>40779</v>
      </c>
      <c r="B1372">
        <v>7544</v>
      </c>
      <c r="C1372">
        <v>7549</v>
      </c>
      <c r="D1372">
        <v>7341</v>
      </c>
      <c r="E1372">
        <v>7421</v>
      </c>
      <c r="F1372">
        <v>7375</v>
      </c>
    </row>
    <row r="1373" spans="1:6" x14ac:dyDescent="0.25">
      <c r="A1373" s="1">
        <v>40780</v>
      </c>
      <c r="B1373">
        <v>7532</v>
      </c>
      <c r="C1373">
        <v>7558</v>
      </c>
      <c r="D1373">
        <v>7346</v>
      </c>
      <c r="E1373">
        <v>7365</v>
      </c>
      <c r="F1373">
        <v>7348.2</v>
      </c>
    </row>
    <row r="1374" spans="1:6" x14ac:dyDescent="0.25">
      <c r="A1374" s="1">
        <v>40781</v>
      </c>
      <c r="B1374">
        <v>7377</v>
      </c>
      <c r="C1374">
        <v>7490</v>
      </c>
      <c r="D1374">
        <v>7355</v>
      </c>
      <c r="E1374">
        <v>7451</v>
      </c>
      <c r="F1374">
        <v>7400.4</v>
      </c>
    </row>
    <row r="1375" spans="1:6" x14ac:dyDescent="0.25">
      <c r="A1375" s="1">
        <v>40784</v>
      </c>
      <c r="B1375">
        <v>7465</v>
      </c>
      <c r="C1375">
        <v>7610</v>
      </c>
      <c r="D1375">
        <v>7440</v>
      </c>
      <c r="E1375">
        <v>7532</v>
      </c>
      <c r="F1375">
        <v>7456</v>
      </c>
    </row>
    <row r="1376" spans="1:6" x14ac:dyDescent="0.25">
      <c r="A1376" s="1">
        <v>40785</v>
      </c>
      <c r="B1376">
        <v>7600</v>
      </c>
      <c r="C1376">
        <v>7632</v>
      </c>
      <c r="D1376">
        <v>7548</v>
      </c>
      <c r="E1376">
        <v>7600</v>
      </c>
      <c r="F1376">
        <v>7473.8</v>
      </c>
    </row>
    <row r="1377" spans="1:6" x14ac:dyDescent="0.25">
      <c r="A1377" s="1">
        <v>40786</v>
      </c>
      <c r="B1377">
        <v>7617</v>
      </c>
      <c r="C1377">
        <v>7714</v>
      </c>
      <c r="D1377">
        <v>7556</v>
      </c>
      <c r="E1377">
        <v>7709</v>
      </c>
      <c r="F1377">
        <v>7531.4</v>
      </c>
    </row>
    <row r="1378" spans="1:6" x14ac:dyDescent="0.25">
      <c r="A1378" s="1">
        <v>40787</v>
      </c>
      <c r="B1378">
        <v>7750</v>
      </c>
      <c r="C1378">
        <v>7848</v>
      </c>
      <c r="D1378">
        <v>7682</v>
      </c>
      <c r="E1378">
        <v>7702</v>
      </c>
      <c r="F1378">
        <v>7598.8</v>
      </c>
    </row>
    <row r="1379" spans="1:6" x14ac:dyDescent="0.25">
      <c r="A1379" s="1">
        <v>40788</v>
      </c>
      <c r="B1379">
        <v>7700</v>
      </c>
      <c r="C1379">
        <v>7745</v>
      </c>
      <c r="D1379">
        <v>7651</v>
      </c>
      <c r="E1379">
        <v>7712</v>
      </c>
      <c r="F1379">
        <v>7651</v>
      </c>
    </row>
    <row r="1380" spans="1:6" x14ac:dyDescent="0.25">
      <c r="A1380" s="1">
        <v>40791</v>
      </c>
      <c r="B1380">
        <v>7576</v>
      </c>
      <c r="C1380">
        <v>7586</v>
      </c>
      <c r="D1380">
        <v>7466</v>
      </c>
      <c r="E1380">
        <v>7475</v>
      </c>
      <c r="F1380">
        <v>7639.6</v>
      </c>
    </row>
    <row r="1381" spans="1:6" x14ac:dyDescent="0.25">
      <c r="A1381" s="1">
        <v>40792</v>
      </c>
      <c r="B1381">
        <v>7400</v>
      </c>
      <c r="C1381">
        <v>7488</v>
      </c>
      <c r="D1381">
        <v>7313</v>
      </c>
      <c r="E1381">
        <v>7337</v>
      </c>
      <c r="F1381">
        <v>7587</v>
      </c>
    </row>
    <row r="1382" spans="1:6" x14ac:dyDescent="0.25">
      <c r="A1382" s="1">
        <v>40793</v>
      </c>
      <c r="B1382">
        <v>7455</v>
      </c>
      <c r="C1382">
        <v>7539</v>
      </c>
      <c r="D1382">
        <v>7411</v>
      </c>
      <c r="E1382">
        <v>7536</v>
      </c>
      <c r="F1382">
        <v>7552.4</v>
      </c>
    </row>
    <row r="1383" spans="1:6" x14ac:dyDescent="0.25">
      <c r="A1383" s="1">
        <v>40794</v>
      </c>
      <c r="B1383">
        <v>7572</v>
      </c>
      <c r="C1383">
        <v>7598</v>
      </c>
      <c r="D1383">
        <v>7476</v>
      </c>
      <c r="E1383">
        <v>7549</v>
      </c>
      <c r="F1383">
        <v>7521.8</v>
      </c>
    </row>
    <row r="1384" spans="1:6" x14ac:dyDescent="0.25">
      <c r="A1384" s="1">
        <v>40795</v>
      </c>
      <c r="B1384">
        <v>7547</v>
      </c>
      <c r="C1384">
        <v>7653</v>
      </c>
      <c r="D1384">
        <v>7510</v>
      </c>
      <c r="E1384">
        <v>7606</v>
      </c>
      <c r="F1384">
        <v>7500.6</v>
      </c>
    </row>
    <row r="1385" spans="1:6" x14ac:dyDescent="0.25">
      <c r="A1385" s="1">
        <v>40799</v>
      </c>
      <c r="B1385">
        <v>7506</v>
      </c>
      <c r="C1385">
        <v>7538</v>
      </c>
      <c r="D1385">
        <v>7335</v>
      </c>
      <c r="E1385">
        <v>7368</v>
      </c>
      <c r="F1385">
        <v>7479.2</v>
      </c>
    </row>
    <row r="1386" spans="1:6" x14ac:dyDescent="0.25">
      <c r="A1386" s="1">
        <v>40800</v>
      </c>
      <c r="B1386">
        <v>7396</v>
      </c>
      <c r="C1386">
        <v>7462</v>
      </c>
      <c r="D1386">
        <v>7161</v>
      </c>
      <c r="E1386">
        <v>7199</v>
      </c>
      <c r="F1386">
        <v>7451.6</v>
      </c>
    </row>
    <row r="1387" spans="1:6" x14ac:dyDescent="0.25">
      <c r="A1387" s="1">
        <v>40801</v>
      </c>
      <c r="B1387">
        <v>7350</v>
      </c>
      <c r="C1387">
        <v>7449</v>
      </c>
      <c r="D1387">
        <v>7324</v>
      </c>
      <c r="E1387">
        <v>7403</v>
      </c>
      <c r="F1387">
        <v>7425</v>
      </c>
    </row>
    <row r="1388" spans="1:6" x14ac:dyDescent="0.25">
      <c r="A1388" s="1">
        <v>40802</v>
      </c>
      <c r="B1388">
        <v>7518</v>
      </c>
      <c r="C1388">
        <v>7628</v>
      </c>
      <c r="D1388">
        <v>7507</v>
      </c>
      <c r="E1388">
        <v>7612</v>
      </c>
      <c r="F1388">
        <v>7437.6</v>
      </c>
    </row>
    <row r="1389" spans="1:6" x14ac:dyDescent="0.25">
      <c r="A1389" s="1">
        <v>40805</v>
      </c>
      <c r="B1389">
        <v>7583</v>
      </c>
      <c r="C1389">
        <v>7585</v>
      </c>
      <c r="D1389">
        <v>7455</v>
      </c>
      <c r="E1389">
        <v>7477</v>
      </c>
      <c r="F1389">
        <v>7411.8</v>
      </c>
    </row>
    <row r="1390" spans="1:6" x14ac:dyDescent="0.25">
      <c r="A1390" s="1">
        <v>40806</v>
      </c>
      <c r="B1390">
        <v>7437</v>
      </c>
      <c r="C1390">
        <v>7566</v>
      </c>
      <c r="D1390">
        <v>7369</v>
      </c>
      <c r="E1390">
        <v>7486</v>
      </c>
      <c r="F1390">
        <v>7435.4</v>
      </c>
    </row>
    <row r="1391" spans="1:6" x14ac:dyDescent="0.25">
      <c r="A1391" s="1">
        <v>40807</v>
      </c>
      <c r="B1391">
        <v>7503</v>
      </c>
      <c r="C1391">
        <v>7590</v>
      </c>
      <c r="D1391">
        <v>7452</v>
      </c>
      <c r="E1391">
        <v>7538</v>
      </c>
      <c r="F1391">
        <v>7503.2</v>
      </c>
    </row>
    <row r="1392" spans="1:6" x14ac:dyDescent="0.25">
      <c r="A1392" s="1">
        <v>40808</v>
      </c>
      <c r="B1392">
        <v>7383</v>
      </c>
      <c r="C1392">
        <v>7385</v>
      </c>
      <c r="D1392">
        <v>7251</v>
      </c>
      <c r="E1392">
        <v>7273</v>
      </c>
      <c r="F1392">
        <v>7477.2</v>
      </c>
    </row>
    <row r="1393" spans="1:6" x14ac:dyDescent="0.25">
      <c r="A1393" s="1">
        <v>40809</v>
      </c>
      <c r="B1393">
        <v>7028</v>
      </c>
      <c r="C1393">
        <v>7103</v>
      </c>
      <c r="D1393">
        <v>6972</v>
      </c>
      <c r="E1393">
        <v>7053</v>
      </c>
      <c r="F1393">
        <v>7365.4</v>
      </c>
    </row>
    <row r="1394" spans="1:6" x14ac:dyDescent="0.25">
      <c r="A1394" s="1">
        <v>40812</v>
      </c>
      <c r="B1394">
        <v>7048</v>
      </c>
      <c r="C1394">
        <v>7048</v>
      </c>
      <c r="D1394">
        <v>6855</v>
      </c>
      <c r="E1394">
        <v>6878</v>
      </c>
      <c r="F1394">
        <v>7245.6</v>
      </c>
    </row>
    <row r="1395" spans="1:6" x14ac:dyDescent="0.25">
      <c r="A1395" s="1">
        <v>40813</v>
      </c>
      <c r="B1395">
        <v>7040</v>
      </c>
      <c r="C1395">
        <v>7135</v>
      </c>
      <c r="D1395">
        <v>7030</v>
      </c>
      <c r="E1395">
        <v>7135</v>
      </c>
      <c r="F1395">
        <v>7175.4</v>
      </c>
    </row>
    <row r="1396" spans="1:6" x14ac:dyDescent="0.25">
      <c r="A1396" s="1">
        <v>40814</v>
      </c>
      <c r="B1396">
        <v>7197</v>
      </c>
      <c r="C1396">
        <v>7198</v>
      </c>
      <c r="D1396">
        <v>7068</v>
      </c>
      <c r="E1396">
        <v>7102</v>
      </c>
      <c r="F1396">
        <v>7088.2</v>
      </c>
    </row>
    <row r="1397" spans="1:6" x14ac:dyDescent="0.25">
      <c r="A1397" s="1">
        <v>40815</v>
      </c>
      <c r="B1397">
        <v>7045</v>
      </c>
      <c r="C1397">
        <v>7208</v>
      </c>
      <c r="D1397">
        <v>7022</v>
      </c>
      <c r="E1397">
        <v>7183</v>
      </c>
      <c r="F1397">
        <v>7070.2</v>
      </c>
    </row>
    <row r="1398" spans="1:6" x14ac:dyDescent="0.25">
      <c r="A1398" s="1">
        <v>40816</v>
      </c>
      <c r="B1398">
        <v>7185</v>
      </c>
      <c r="C1398">
        <v>7229</v>
      </c>
      <c r="D1398">
        <v>7132</v>
      </c>
      <c r="E1398">
        <v>7182</v>
      </c>
      <c r="F1398">
        <v>7096</v>
      </c>
    </row>
    <row r="1399" spans="1:6" x14ac:dyDescent="0.25">
      <c r="A1399" s="1">
        <v>40819</v>
      </c>
      <c r="B1399">
        <v>7045</v>
      </c>
      <c r="C1399">
        <v>7085</v>
      </c>
      <c r="D1399">
        <v>6960</v>
      </c>
      <c r="E1399">
        <v>7015</v>
      </c>
      <c r="F1399">
        <v>7123.4</v>
      </c>
    </row>
    <row r="1400" spans="1:6" x14ac:dyDescent="0.25">
      <c r="A1400" s="1">
        <v>40820</v>
      </c>
      <c r="B1400">
        <v>6890</v>
      </c>
      <c r="C1400">
        <v>7098</v>
      </c>
      <c r="D1400">
        <v>6871</v>
      </c>
      <c r="E1400">
        <v>7097</v>
      </c>
      <c r="F1400">
        <v>7115.8</v>
      </c>
    </row>
    <row r="1401" spans="1:6" x14ac:dyDescent="0.25">
      <c r="A1401" s="1">
        <v>40821</v>
      </c>
      <c r="B1401">
        <v>7062</v>
      </c>
      <c r="C1401">
        <v>7086</v>
      </c>
      <c r="D1401">
        <v>6973</v>
      </c>
      <c r="E1401">
        <v>6985</v>
      </c>
      <c r="F1401">
        <v>7092.4</v>
      </c>
    </row>
    <row r="1402" spans="1:6" x14ac:dyDescent="0.25">
      <c r="A1402" s="1">
        <v>40822</v>
      </c>
      <c r="B1402">
        <v>7106</v>
      </c>
      <c r="C1402">
        <v>7189</v>
      </c>
      <c r="D1402">
        <v>7099</v>
      </c>
      <c r="E1402">
        <v>7121</v>
      </c>
      <c r="F1402">
        <v>7080</v>
      </c>
    </row>
    <row r="1403" spans="1:6" x14ac:dyDescent="0.25">
      <c r="A1403" s="1">
        <v>40823</v>
      </c>
      <c r="B1403">
        <v>7239</v>
      </c>
      <c r="C1403">
        <v>7260</v>
      </c>
      <c r="D1403">
        <v>7184</v>
      </c>
      <c r="E1403">
        <v>7191</v>
      </c>
      <c r="F1403">
        <v>7081.8</v>
      </c>
    </row>
    <row r="1404" spans="1:6" x14ac:dyDescent="0.25">
      <c r="A1404" s="1">
        <v>40827</v>
      </c>
      <c r="B1404">
        <v>7355</v>
      </c>
      <c r="C1404">
        <v>7409</v>
      </c>
      <c r="D1404">
        <v>7336</v>
      </c>
      <c r="E1404">
        <v>7409</v>
      </c>
      <c r="F1404">
        <v>7160.6</v>
      </c>
    </row>
    <row r="1405" spans="1:6" x14ac:dyDescent="0.25">
      <c r="A1405" s="1">
        <v>40828</v>
      </c>
      <c r="B1405">
        <v>7377</v>
      </c>
      <c r="C1405">
        <v>7425</v>
      </c>
      <c r="D1405">
        <v>7341</v>
      </c>
      <c r="E1405">
        <v>7391</v>
      </c>
      <c r="F1405">
        <v>7219.4</v>
      </c>
    </row>
    <row r="1406" spans="1:6" x14ac:dyDescent="0.25">
      <c r="A1406" s="1">
        <v>40829</v>
      </c>
      <c r="B1406">
        <v>7450</v>
      </c>
      <c r="C1406">
        <v>7459</v>
      </c>
      <c r="D1406">
        <v>7375</v>
      </c>
      <c r="E1406">
        <v>7391</v>
      </c>
      <c r="F1406">
        <v>7300.6</v>
      </c>
    </row>
    <row r="1407" spans="1:6" x14ac:dyDescent="0.25">
      <c r="A1407" s="1">
        <v>40830</v>
      </c>
      <c r="B1407">
        <v>7362</v>
      </c>
      <c r="C1407">
        <v>7399</v>
      </c>
      <c r="D1407">
        <v>7353</v>
      </c>
      <c r="E1407">
        <v>7377</v>
      </c>
      <c r="F1407">
        <v>7351.8</v>
      </c>
    </row>
    <row r="1408" spans="1:6" x14ac:dyDescent="0.25">
      <c r="A1408" s="1">
        <v>40833</v>
      </c>
      <c r="B1408">
        <v>7458</v>
      </c>
      <c r="C1408">
        <v>7495</v>
      </c>
      <c r="D1408">
        <v>7409</v>
      </c>
      <c r="E1408">
        <v>7454</v>
      </c>
      <c r="F1408">
        <v>7404.4</v>
      </c>
    </row>
    <row r="1409" spans="1:6" x14ac:dyDescent="0.25">
      <c r="A1409" s="1">
        <v>40834</v>
      </c>
      <c r="B1409">
        <v>7351</v>
      </c>
      <c r="C1409">
        <v>7389</v>
      </c>
      <c r="D1409">
        <v>7313</v>
      </c>
      <c r="E1409">
        <v>7339</v>
      </c>
      <c r="F1409">
        <v>7390.4</v>
      </c>
    </row>
    <row r="1410" spans="1:6" x14ac:dyDescent="0.25">
      <c r="A1410" s="1">
        <v>40835</v>
      </c>
      <c r="B1410">
        <v>7363</v>
      </c>
      <c r="C1410">
        <v>7382</v>
      </c>
      <c r="D1410">
        <v>7320</v>
      </c>
      <c r="E1410">
        <v>7329</v>
      </c>
      <c r="F1410">
        <v>7378</v>
      </c>
    </row>
    <row r="1411" spans="1:6" x14ac:dyDescent="0.25">
      <c r="A1411" s="1">
        <v>40836</v>
      </c>
      <c r="B1411">
        <v>7350</v>
      </c>
      <c r="C1411">
        <v>7358</v>
      </c>
      <c r="D1411">
        <v>7212</v>
      </c>
      <c r="E1411">
        <v>7215</v>
      </c>
      <c r="F1411">
        <v>7342.8</v>
      </c>
    </row>
    <row r="1412" spans="1:6" x14ac:dyDescent="0.25">
      <c r="A1412" s="1">
        <v>40837</v>
      </c>
      <c r="B1412">
        <v>7228</v>
      </c>
      <c r="C1412">
        <v>7272</v>
      </c>
      <c r="D1412">
        <v>7192</v>
      </c>
      <c r="E1412">
        <v>7261</v>
      </c>
      <c r="F1412">
        <v>7319.6</v>
      </c>
    </row>
    <row r="1413" spans="1:6" x14ac:dyDescent="0.25">
      <c r="A1413" s="1">
        <v>40840</v>
      </c>
      <c r="B1413">
        <v>7380</v>
      </c>
      <c r="C1413">
        <v>7502</v>
      </c>
      <c r="D1413">
        <v>7375</v>
      </c>
      <c r="E1413">
        <v>7495</v>
      </c>
      <c r="F1413">
        <v>7327.8</v>
      </c>
    </row>
    <row r="1414" spans="1:6" x14ac:dyDescent="0.25">
      <c r="A1414" s="1">
        <v>40841</v>
      </c>
      <c r="B1414">
        <v>7492</v>
      </c>
      <c r="C1414">
        <v>7519</v>
      </c>
      <c r="D1414">
        <v>7464</v>
      </c>
      <c r="E1414">
        <v>7473</v>
      </c>
      <c r="F1414">
        <v>7354.6</v>
      </c>
    </row>
    <row r="1415" spans="1:6" x14ac:dyDescent="0.25">
      <c r="A1415" s="1">
        <v>40842</v>
      </c>
      <c r="B1415">
        <v>7420</v>
      </c>
      <c r="C1415">
        <v>7573</v>
      </c>
      <c r="D1415">
        <v>7408</v>
      </c>
      <c r="E1415">
        <v>7547</v>
      </c>
      <c r="F1415">
        <v>7398.2</v>
      </c>
    </row>
    <row r="1416" spans="1:6" x14ac:dyDescent="0.25">
      <c r="A1416" s="1">
        <v>40843</v>
      </c>
      <c r="B1416">
        <v>7553</v>
      </c>
      <c r="C1416">
        <v>7603</v>
      </c>
      <c r="D1416">
        <v>7503</v>
      </c>
      <c r="E1416">
        <v>7592</v>
      </c>
      <c r="F1416">
        <v>7473.6</v>
      </c>
    </row>
    <row r="1417" spans="1:6" x14ac:dyDescent="0.25">
      <c r="A1417" s="1">
        <v>40844</v>
      </c>
      <c r="B1417">
        <v>7730</v>
      </c>
      <c r="C1417">
        <v>7777</v>
      </c>
      <c r="D1417">
        <v>7612</v>
      </c>
      <c r="E1417">
        <v>7633</v>
      </c>
      <c r="F1417">
        <v>7548</v>
      </c>
    </row>
    <row r="1418" spans="1:6" x14ac:dyDescent="0.25">
      <c r="A1418" s="1">
        <v>40847</v>
      </c>
      <c r="B1418">
        <v>7634</v>
      </c>
      <c r="C1418">
        <v>7683</v>
      </c>
      <c r="D1418">
        <v>7548</v>
      </c>
      <c r="E1418">
        <v>7560</v>
      </c>
      <c r="F1418">
        <v>7561</v>
      </c>
    </row>
    <row r="1419" spans="1:6" x14ac:dyDescent="0.25">
      <c r="A1419" s="1">
        <v>40848</v>
      </c>
      <c r="B1419">
        <v>7586</v>
      </c>
      <c r="C1419">
        <v>7684</v>
      </c>
      <c r="D1419">
        <v>7522</v>
      </c>
      <c r="E1419">
        <v>7638</v>
      </c>
      <c r="F1419">
        <v>7594</v>
      </c>
    </row>
    <row r="1420" spans="1:6" x14ac:dyDescent="0.25">
      <c r="A1420" s="1">
        <v>40849</v>
      </c>
      <c r="B1420">
        <v>7500</v>
      </c>
      <c r="C1420">
        <v>7632</v>
      </c>
      <c r="D1420">
        <v>7453</v>
      </c>
      <c r="E1420">
        <v>7610</v>
      </c>
      <c r="F1420">
        <v>7606.6</v>
      </c>
    </row>
    <row r="1421" spans="1:6" x14ac:dyDescent="0.25">
      <c r="A1421" s="1">
        <v>40850</v>
      </c>
      <c r="B1421">
        <v>7568</v>
      </c>
      <c r="C1421">
        <v>7580</v>
      </c>
      <c r="D1421">
        <v>7438</v>
      </c>
      <c r="E1421">
        <v>7443</v>
      </c>
      <c r="F1421">
        <v>7576.8</v>
      </c>
    </row>
    <row r="1422" spans="1:6" x14ac:dyDescent="0.25">
      <c r="A1422" s="1">
        <v>40851</v>
      </c>
      <c r="B1422">
        <v>7593</v>
      </c>
      <c r="C1422">
        <v>7665</v>
      </c>
      <c r="D1422">
        <v>7572</v>
      </c>
      <c r="E1422">
        <v>7628</v>
      </c>
      <c r="F1422">
        <v>7575.8</v>
      </c>
    </row>
    <row r="1423" spans="1:6" x14ac:dyDescent="0.25">
      <c r="A1423" s="1">
        <v>40854</v>
      </c>
      <c r="B1423">
        <v>7620</v>
      </c>
      <c r="C1423">
        <v>7656</v>
      </c>
      <c r="D1423">
        <v>7591</v>
      </c>
      <c r="E1423">
        <v>7637</v>
      </c>
      <c r="F1423">
        <v>7591.2</v>
      </c>
    </row>
    <row r="1424" spans="1:6" x14ac:dyDescent="0.25">
      <c r="A1424" s="1">
        <v>40855</v>
      </c>
      <c r="B1424">
        <v>7632</v>
      </c>
      <c r="C1424">
        <v>7709</v>
      </c>
      <c r="D1424">
        <v>7580</v>
      </c>
      <c r="E1424">
        <v>7590</v>
      </c>
      <c r="F1424">
        <v>7581.6</v>
      </c>
    </row>
    <row r="1425" spans="1:6" x14ac:dyDescent="0.25">
      <c r="A1425" s="1">
        <v>40856</v>
      </c>
      <c r="B1425">
        <v>7657</v>
      </c>
      <c r="C1425">
        <v>7672</v>
      </c>
      <c r="D1425">
        <v>7576</v>
      </c>
      <c r="E1425">
        <v>7612</v>
      </c>
      <c r="F1425">
        <v>7582</v>
      </c>
    </row>
    <row r="1426" spans="1:6" x14ac:dyDescent="0.25">
      <c r="A1426" s="1">
        <v>40857</v>
      </c>
      <c r="B1426">
        <v>7447</v>
      </c>
      <c r="C1426">
        <v>7455</v>
      </c>
      <c r="D1426">
        <v>7276</v>
      </c>
      <c r="E1426">
        <v>7313</v>
      </c>
      <c r="F1426">
        <v>7556</v>
      </c>
    </row>
    <row r="1427" spans="1:6" x14ac:dyDescent="0.25">
      <c r="A1427" s="1">
        <v>40858</v>
      </c>
      <c r="B1427">
        <v>7329</v>
      </c>
      <c r="C1427">
        <v>7383</v>
      </c>
      <c r="D1427">
        <v>7288</v>
      </c>
      <c r="E1427">
        <v>7358</v>
      </c>
      <c r="F1427">
        <v>7502</v>
      </c>
    </row>
    <row r="1428" spans="1:6" x14ac:dyDescent="0.25">
      <c r="A1428" s="1">
        <v>40861</v>
      </c>
      <c r="B1428">
        <v>7474</v>
      </c>
      <c r="C1428">
        <v>7562</v>
      </c>
      <c r="D1428">
        <v>7474</v>
      </c>
      <c r="E1428">
        <v>7545</v>
      </c>
      <c r="F1428">
        <v>7483.6</v>
      </c>
    </row>
    <row r="1429" spans="1:6" x14ac:dyDescent="0.25">
      <c r="A1429" s="1">
        <v>40862</v>
      </c>
      <c r="B1429">
        <v>7512</v>
      </c>
      <c r="C1429">
        <v>7549</v>
      </c>
      <c r="D1429">
        <v>7480</v>
      </c>
      <c r="E1429">
        <v>7503</v>
      </c>
      <c r="F1429">
        <v>7466.2</v>
      </c>
    </row>
    <row r="1430" spans="1:6" x14ac:dyDescent="0.25">
      <c r="A1430" s="1">
        <v>40863</v>
      </c>
      <c r="B1430">
        <v>7528</v>
      </c>
      <c r="C1430">
        <v>7561</v>
      </c>
      <c r="D1430">
        <v>7385</v>
      </c>
      <c r="E1430">
        <v>7396</v>
      </c>
      <c r="F1430">
        <v>7423</v>
      </c>
    </row>
    <row r="1431" spans="1:6" x14ac:dyDescent="0.25">
      <c r="A1431" s="1">
        <v>40864</v>
      </c>
      <c r="B1431">
        <v>7325</v>
      </c>
      <c r="C1431">
        <v>7409</v>
      </c>
      <c r="D1431">
        <v>7284</v>
      </c>
      <c r="E1431">
        <v>7403</v>
      </c>
      <c r="F1431">
        <v>7441</v>
      </c>
    </row>
    <row r="1432" spans="1:6" x14ac:dyDescent="0.25">
      <c r="A1432" s="1">
        <v>40865</v>
      </c>
      <c r="B1432">
        <v>7294</v>
      </c>
      <c r="C1432">
        <v>7330</v>
      </c>
      <c r="D1432">
        <v>7235</v>
      </c>
      <c r="E1432">
        <v>7251</v>
      </c>
      <c r="F1432">
        <v>7419.6</v>
      </c>
    </row>
    <row r="1433" spans="1:6" x14ac:dyDescent="0.25">
      <c r="A1433" s="1">
        <v>40868</v>
      </c>
      <c r="B1433">
        <v>7184</v>
      </c>
      <c r="C1433">
        <v>7190</v>
      </c>
      <c r="D1433">
        <v>7016</v>
      </c>
      <c r="E1433">
        <v>7048</v>
      </c>
      <c r="F1433">
        <v>7320.2</v>
      </c>
    </row>
    <row r="1434" spans="1:6" x14ac:dyDescent="0.25">
      <c r="A1434" s="1">
        <v>40869</v>
      </c>
      <c r="B1434">
        <v>7040</v>
      </c>
      <c r="C1434">
        <v>7102</v>
      </c>
      <c r="D1434">
        <v>6971</v>
      </c>
      <c r="E1434">
        <v>7021</v>
      </c>
      <c r="F1434">
        <v>7223.8</v>
      </c>
    </row>
    <row r="1435" spans="1:6" x14ac:dyDescent="0.25">
      <c r="A1435" s="1">
        <v>40870</v>
      </c>
      <c r="B1435">
        <v>6979</v>
      </c>
      <c r="C1435">
        <v>6988</v>
      </c>
      <c r="D1435">
        <v>6798</v>
      </c>
      <c r="E1435">
        <v>6816</v>
      </c>
      <c r="F1435">
        <v>7107.8</v>
      </c>
    </row>
    <row r="1436" spans="1:6" x14ac:dyDescent="0.25">
      <c r="A1436" s="1">
        <v>40871</v>
      </c>
      <c r="B1436">
        <v>6833</v>
      </c>
      <c r="C1436">
        <v>6903</v>
      </c>
      <c r="D1436">
        <v>6765</v>
      </c>
      <c r="E1436">
        <v>6833</v>
      </c>
      <c r="F1436">
        <v>6993.8</v>
      </c>
    </row>
    <row r="1437" spans="1:6" x14ac:dyDescent="0.25">
      <c r="A1437" s="1">
        <v>40872</v>
      </c>
      <c r="B1437">
        <v>6845</v>
      </c>
      <c r="C1437">
        <v>6955</v>
      </c>
      <c r="D1437">
        <v>6725</v>
      </c>
      <c r="E1437">
        <v>6758</v>
      </c>
      <c r="F1437">
        <v>6895.2</v>
      </c>
    </row>
    <row r="1438" spans="1:6" x14ac:dyDescent="0.25">
      <c r="A1438" s="1">
        <v>40875</v>
      </c>
      <c r="B1438">
        <v>6896</v>
      </c>
      <c r="C1438">
        <v>6925</v>
      </c>
      <c r="D1438">
        <v>6851</v>
      </c>
      <c r="E1438">
        <v>6920</v>
      </c>
      <c r="F1438">
        <v>6869.6</v>
      </c>
    </row>
    <row r="1439" spans="1:6" x14ac:dyDescent="0.25">
      <c r="A1439" s="1">
        <v>40876</v>
      </c>
      <c r="B1439">
        <v>6970</v>
      </c>
      <c r="C1439">
        <v>6995</v>
      </c>
      <c r="D1439">
        <v>6912</v>
      </c>
      <c r="E1439">
        <v>6973</v>
      </c>
      <c r="F1439">
        <v>6860</v>
      </c>
    </row>
    <row r="1440" spans="1:6" x14ac:dyDescent="0.25">
      <c r="A1440" s="1">
        <v>40877</v>
      </c>
      <c r="B1440">
        <v>6942</v>
      </c>
      <c r="C1440">
        <v>6957</v>
      </c>
      <c r="D1440">
        <v>6826</v>
      </c>
      <c r="E1440">
        <v>6899</v>
      </c>
      <c r="F1440">
        <v>6876.6</v>
      </c>
    </row>
    <row r="1441" spans="1:6" x14ac:dyDescent="0.25">
      <c r="A1441" s="1">
        <v>40878</v>
      </c>
      <c r="B1441">
        <v>7200</v>
      </c>
      <c r="C1441">
        <v>7250</v>
      </c>
      <c r="D1441">
        <v>7140</v>
      </c>
      <c r="E1441">
        <v>7210</v>
      </c>
      <c r="F1441">
        <v>6952</v>
      </c>
    </row>
    <row r="1442" spans="1:6" x14ac:dyDescent="0.25">
      <c r="A1442" s="1">
        <v>40879</v>
      </c>
      <c r="B1442">
        <v>7218</v>
      </c>
      <c r="C1442">
        <v>7218</v>
      </c>
      <c r="D1442">
        <v>7117</v>
      </c>
      <c r="E1442">
        <v>7154</v>
      </c>
      <c r="F1442">
        <v>7031.2</v>
      </c>
    </row>
    <row r="1443" spans="1:6" x14ac:dyDescent="0.25">
      <c r="A1443" s="1">
        <v>40882</v>
      </c>
      <c r="B1443">
        <v>7162</v>
      </c>
      <c r="C1443">
        <v>7167</v>
      </c>
      <c r="D1443">
        <v>7052</v>
      </c>
      <c r="E1443">
        <v>7132</v>
      </c>
      <c r="F1443">
        <v>7073.6</v>
      </c>
    </row>
    <row r="1444" spans="1:6" x14ac:dyDescent="0.25">
      <c r="A1444" s="1">
        <v>40883</v>
      </c>
      <c r="B1444">
        <v>7100</v>
      </c>
      <c r="C1444">
        <v>7105</v>
      </c>
      <c r="D1444">
        <v>6954</v>
      </c>
      <c r="E1444">
        <v>6983</v>
      </c>
      <c r="F1444">
        <v>7075.6</v>
      </c>
    </row>
    <row r="1445" spans="1:6" x14ac:dyDescent="0.25">
      <c r="A1445" s="1">
        <v>40884</v>
      </c>
      <c r="B1445">
        <v>7016</v>
      </c>
      <c r="C1445">
        <v>7062</v>
      </c>
      <c r="D1445">
        <v>7006</v>
      </c>
      <c r="E1445">
        <v>7055</v>
      </c>
      <c r="F1445">
        <v>7106.8</v>
      </c>
    </row>
    <row r="1446" spans="1:6" x14ac:dyDescent="0.25">
      <c r="A1446" s="1">
        <v>40885</v>
      </c>
      <c r="B1446">
        <v>7021</v>
      </c>
      <c r="C1446">
        <v>7028</v>
      </c>
      <c r="D1446">
        <v>6907</v>
      </c>
      <c r="E1446">
        <v>6960</v>
      </c>
      <c r="F1446">
        <v>7056.8</v>
      </c>
    </row>
    <row r="1447" spans="1:6" x14ac:dyDescent="0.25">
      <c r="A1447" s="1">
        <v>40886</v>
      </c>
      <c r="B1447">
        <v>6800</v>
      </c>
      <c r="C1447">
        <v>6933</v>
      </c>
      <c r="D1447">
        <v>6790</v>
      </c>
      <c r="E1447">
        <v>6888</v>
      </c>
      <c r="F1447">
        <v>7003.6</v>
      </c>
    </row>
    <row r="1448" spans="1:6" x14ac:dyDescent="0.25">
      <c r="A1448" s="1">
        <v>40889</v>
      </c>
      <c r="B1448">
        <v>6966</v>
      </c>
      <c r="C1448">
        <v>7015</v>
      </c>
      <c r="D1448">
        <v>6932</v>
      </c>
      <c r="E1448">
        <v>6940</v>
      </c>
      <c r="F1448">
        <v>6965.2</v>
      </c>
    </row>
    <row r="1449" spans="1:6" x14ac:dyDescent="0.25">
      <c r="A1449" s="1">
        <v>40890</v>
      </c>
      <c r="B1449">
        <v>6850</v>
      </c>
      <c r="C1449">
        <v>6930</v>
      </c>
      <c r="D1449">
        <v>6837</v>
      </c>
      <c r="E1449">
        <v>6897</v>
      </c>
      <c r="F1449">
        <v>6948</v>
      </c>
    </row>
    <row r="1450" spans="1:6" x14ac:dyDescent="0.25">
      <c r="A1450" s="1">
        <v>40891</v>
      </c>
      <c r="B1450">
        <v>6885</v>
      </c>
      <c r="C1450">
        <v>6925</v>
      </c>
      <c r="D1450">
        <v>6857</v>
      </c>
      <c r="E1450">
        <v>6923</v>
      </c>
      <c r="F1450">
        <v>6921.6</v>
      </c>
    </row>
    <row r="1451" spans="1:6" x14ac:dyDescent="0.25">
      <c r="A1451" s="1">
        <v>40892</v>
      </c>
      <c r="B1451">
        <v>6852</v>
      </c>
      <c r="C1451">
        <v>6857</v>
      </c>
      <c r="D1451">
        <v>6750</v>
      </c>
      <c r="E1451">
        <v>6753</v>
      </c>
      <c r="F1451">
        <v>6880.2</v>
      </c>
    </row>
    <row r="1452" spans="1:6" x14ac:dyDescent="0.25">
      <c r="A1452" s="1">
        <v>40893</v>
      </c>
      <c r="B1452">
        <v>6780</v>
      </c>
      <c r="C1452">
        <v>6803</v>
      </c>
      <c r="D1452">
        <v>6746</v>
      </c>
      <c r="E1452">
        <v>6775</v>
      </c>
      <c r="F1452">
        <v>6857.6</v>
      </c>
    </row>
    <row r="1453" spans="1:6" x14ac:dyDescent="0.25">
      <c r="A1453" s="1">
        <v>40896</v>
      </c>
      <c r="B1453">
        <v>6687</v>
      </c>
      <c r="C1453">
        <v>6741</v>
      </c>
      <c r="D1453">
        <v>6613</v>
      </c>
      <c r="E1453">
        <v>6636</v>
      </c>
      <c r="F1453">
        <v>6796.8</v>
      </c>
    </row>
    <row r="1454" spans="1:6" x14ac:dyDescent="0.25">
      <c r="A1454" s="1">
        <v>40897</v>
      </c>
      <c r="B1454">
        <v>6670</v>
      </c>
      <c r="C1454">
        <v>6704</v>
      </c>
      <c r="D1454">
        <v>6664</v>
      </c>
      <c r="E1454">
        <v>6670</v>
      </c>
      <c r="F1454">
        <v>6751.4</v>
      </c>
    </row>
    <row r="1455" spans="1:6" x14ac:dyDescent="0.25">
      <c r="A1455" s="1">
        <v>40898</v>
      </c>
      <c r="B1455">
        <v>6820</v>
      </c>
      <c r="C1455">
        <v>6959</v>
      </c>
      <c r="D1455">
        <v>6820</v>
      </c>
      <c r="E1455">
        <v>6952</v>
      </c>
      <c r="F1455">
        <v>6757.2</v>
      </c>
    </row>
    <row r="1456" spans="1:6" x14ac:dyDescent="0.25">
      <c r="A1456" s="1">
        <v>40899</v>
      </c>
      <c r="B1456">
        <v>6945</v>
      </c>
      <c r="C1456">
        <v>6980</v>
      </c>
      <c r="D1456">
        <v>6936</v>
      </c>
      <c r="E1456">
        <v>6957</v>
      </c>
      <c r="F1456">
        <v>6798</v>
      </c>
    </row>
    <row r="1457" spans="1:6" x14ac:dyDescent="0.25">
      <c r="A1457" s="1">
        <v>40900</v>
      </c>
      <c r="B1457">
        <v>7032</v>
      </c>
      <c r="C1457">
        <v>7124</v>
      </c>
      <c r="D1457">
        <v>7031</v>
      </c>
      <c r="E1457">
        <v>7110</v>
      </c>
      <c r="F1457">
        <v>6865</v>
      </c>
    </row>
    <row r="1458" spans="1:6" x14ac:dyDescent="0.25">
      <c r="A1458" s="1">
        <v>40903</v>
      </c>
      <c r="B1458">
        <v>7118</v>
      </c>
      <c r="C1458">
        <v>7118</v>
      </c>
      <c r="D1458">
        <v>7073</v>
      </c>
      <c r="E1458">
        <v>7106</v>
      </c>
      <c r="F1458">
        <v>6959</v>
      </c>
    </row>
    <row r="1459" spans="1:6" x14ac:dyDescent="0.25">
      <c r="A1459" s="1">
        <v>40904</v>
      </c>
      <c r="B1459">
        <v>7098</v>
      </c>
      <c r="C1459">
        <v>7113</v>
      </c>
      <c r="D1459">
        <v>7035</v>
      </c>
      <c r="E1459">
        <v>7085</v>
      </c>
      <c r="F1459">
        <v>7042</v>
      </c>
    </row>
    <row r="1460" spans="1:6" x14ac:dyDescent="0.25">
      <c r="A1460" s="1">
        <v>40905</v>
      </c>
      <c r="B1460">
        <v>7055</v>
      </c>
      <c r="C1460">
        <v>7088</v>
      </c>
      <c r="D1460">
        <v>7038</v>
      </c>
      <c r="E1460">
        <v>7051</v>
      </c>
      <c r="F1460">
        <v>7061.8</v>
      </c>
    </row>
    <row r="1461" spans="1:6" x14ac:dyDescent="0.25">
      <c r="A1461" s="1">
        <v>40906</v>
      </c>
      <c r="B1461">
        <v>7012</v>
      </c>
      <c r="C1461">
        <v>7078</v>
      </c>
      <c r="D1461">
        <v>7000</v>
      </c>
      <c r="E1461">
        <v>7076</v>
      </c>
      <c r="F1461">
        <v>7085.6</v>
      </c>
    </row>
    <row r="1462" spans="1:6" x14ac:dyDescent="0.25">
      <c r="A1462" s="1">
        <v>40907</v>
      </c>
      <c r="B1462">
        <v>7115</v>
      </c>
      <c r="C1462">
        <v>7148</v>
      </c>
      <c r="D1462">
        <v>7037</v>
      </c>
      <c r="E1462">
        <v>7042</v>
      </c>
      <c r="F1462">
        <v>7072</v>
      </c>
    </row>
    <row r="1463" spans="1:6" x14ac:dyDescent="0.25">
      <c r="A1463" s="1">
        <v>40910</v>
      </c>
      <c r="B1463">
        <v>7020</v>
      </c>
      <c r="C1463">
        <v>7052</v>
      </c>
      <c r="D1463">
        <v>6928</v>
      </c>
      <c r="E1463">
        <v>6945</v>
      </c>
      <c r="F1463">
        <v>7039.8</v>
      </c>
    </row>
    <row r="1464" spans="1:6" x14ac:dyDescent="0.25">
      <c r="A1464" s="1">
        <v>40911</v>
      </c>
      <c r="B1464">
        <v>7025</v>
      </c>
      <c r="C1464">
        <v>7087</v>
      </c>
      <c r="D1464">
        <v>7002</v>
      </c>
      <c r="E1464">
        <v>7048</v>
      </c>
      <c r="F1464">
        <v>7032.4</v>
      </c>
    </row>
    <row r="1465" spans="1:6" x14ac:dyDescent="0.25">
      <c r="A1465" s="1">
        <v>40912</v>
      </c>
      <c r="B1465">
        <v>7080</v>
      </c>
      <c r="C1465">
        <v>7108</v>
      </c>
      <c r="D1465">
        <v>7043</v>
      </c>
      <c r="E1465">
        <v>7074</v>
      </c>
      <c r="F1465">
        <v>7037</v>
      </c>
    </row>
    <row r="1466" spans="1:6" x14ac:dyDescent="0.25">
      <c r="A1466" s="1">
        <v>40913</v>
      </c>
      <c r="B1466">
        <v>7084</v>
      </c>
      <c r="C1466">
        <v>7124</v>
      </c>
      <c r="D1466">
        <v>7061</v>
      </c>
      <c r="E1466">
        <v>7118</v>
      </c>
      <c r="F1466">
        <v>7045.4</v>
      </c>
    </row>
    <row r="1467" spans="1:6" x14ac:dyDescent="0.25">
      <c r="A1467" s="1">
        <v>40914</v>
      </c>
      <c r="B1467">
        <v>7101</v>
      </c>
      <c r="C1467">
        <v>7117</v>
      </c>
      <c r="D1467">
        <v>7061</v>
      </c>
      <c r="E1467">
        <v>7085</v>
      </c>
      <c r="F1467">
        <v>7054</v>
      </c>
    </row>
    <row r="1468" spans="1:6" x14ac:dyDescent="0.25">
      <c r="A1468" s="1">
        <v>40917</v>
      </c>
      <c r="B1468">
        <v>7053</v>
      </c>
      <c r="C1468">
        <v>7083</v>
      </c>
      <c r="D1468">
        <v>7026</v>
      </c>
      <c r="E1468">
        <v>7057</v>
      </c>
      <c r="F1468">
        <v>7076.4</v>
      </c>
    </row>
    <row r="1469" spans="1:6" x14ac:dyDescent="0.25">
      <c r="A1469" s="1">
        <v>40918</v>
      </c>
      <c r="B1469">
        <v>7110</v>
      </c>
      <c r="C1469">
        <v>7180</v>
      </c>
      <c r="D1469">
        <v>7109</v>
      </c>
      <c r="E1469">
        <v>7174</v>
      </c>
      <c r="F1469">
        <v>7101.6</v>
      </c>
    </row>
    <row r="1470" spans="1:6" x14ac:dyDescent="0.25">
      <c r="A1470" s="1">
        <v>40919</v>
      </c>
      <c r="B1470">
        <v>7188</v>
      </c>
      <c r="C1470">
        <v>7195</v>
      </c>
      <c r="D1470">
        <v>7168</v>
      </c>
      <c r="E1470">
        <v>7179</v>
      </c>
      <c r="F1470">
        <v>7122.6</v>
      </c>
    </row>
    <row r="1471" spans="1:6" x14ac:dyDescent="0.25">
      <c r="A1471" s="1">
        <v>40920</v>
      </c>
      <c r="B1471">
        <v>7186</v>
      </c>
      <c r="C1471">
        <v>7193</v>
      </c>
      <c r="D1471">
        <v>7161</v>
      </c>
      <c r="E1471">
        <v>7188</v>
      </c>
      <c r="F1471">
        <v>7136.6</v>
      </c>
    </row>
    <row r="1472" spans="1:6" x14ac:dyDescent="0.25">
      <c r="A1472" s="1">
        <v>40921</v>
      </c>
      <c r="B1472">
        <v>7229</v>
      </c>
      <c r="C1472">
        <v>7263</v>
      </c>
      <c r="D1472">
        <v>7147</v>
      </c>
      <c r="E1472">
        <v>7165</v>
      </c>
      <c r="F1472">
        <v>7152.6</v>
      </c>
    </row>
    <row r="1473" spans="1:6" x14ac:dyDescent="0.25">
      <c r="A1473" s="1">
        <v>40924</v>
      </c>
      <c r="B1473">
        <v>7239</v>
      </c>
      <c r="C1473">
        <v>7280</v>
      </c>
      <c r="D1473">
        <v>7071</v>
      </c>
      <c r="E1473">
        <v>7092</v>
      </c>
      <c r="F1473">
        <v>7159.6</v>
      </c>
    </row>
    <row r="1474" spans="1:6" x14ac:dyDescent="0.25">
      <c r="A1474" s="1">
        <v>40925</v>
      </c>
      <c r="B1474">
        <v>7166</v>
      </c>
      <c r="C1474">
        <v>7228</v>
      </c>
      <c r="D1474">
        <v>7119</v>
      </c>
      <c r="E1474">
        <v>7226</v>
      </c>
      <c r="F1474">
        <v>7170</v>
      </c>
    </row>
    <row r="1475" spans="1:6" x14ac:dyDescent="0.25">
      <c r="A1475" s="1">
        <v>40926</v>
      </c>
      <c r="B1475">
        <v>7220</v>
      </c>
      <c r="C1475">
        <v>7247</v>
      </c>
      <c r="D1475">
        <v>7192</v>
      </c>
      <c r="E1475">
        <v>7206</v>
      </c>
      <c r="F1475">
        <v>7175.4</v>
      </c>
    </row>
    <row r="1476" spans="1:6" x14ac:dyDescent="0.25">
      <c r="A1476" s="1">
        <v>40938</v>
      </c>
      <c r="B1476">
        <v>7326</v>
      </c>
      <c r="C1476">
        <v>7448</v>
      </c>
      <c r="D1476">
        <v>7326</v>
      </c>
      <c r="E1476">
        <v>7393</v>
      </c>
      <c r="F1476">
        <v>7216.4</v>
      </c>
    </row>
    <row r="1477" spans="1:6" x14ac:dyDescent="0.25">
      <c r="A1477" s="1">
        <v>40939</v>
      </c>
      <c r="B1477">
        <v>7446</v>
      </c>
      <c r="C1477">
        <v>7503</v>
      </c>
      <c r="D1477">
        <v>7421</v>
      </c>
      <c r="E1477">
        <v>7470</v>
      </c>
      <c r="F1477">
        <v>7277.4</v>
      </c>
    </row>
    <row r="1478" spans="1:6" x14ac:dyDescent="0.25">
      <c r="A1478" s="1">
        <v>40940</v>
      </c>
      <c r="B1478">
        <v>7495</v>
      </c>
      <c r="C1478">
        <v>7548</v>
      </c>
      <c r="D1478">
        <v>7475</v>
      </c>
      <c r="E1478">
        <v>7524</v>
      </c>
      <c r="F1478">
        <v>7363.8</v>
      </c>
    </row>
    <row r="1479" spans="1:6" x14ac:dyDescent="0.25">
      <c r="A1479" s="1">
        <v>40941</v>
      </c>
      <c r="B1479">
        <v>7622</v>
      </c>
      <c r="C1479">
        <v>7650</v>
      </c>
      <c r="D1479">
        <v>7566</v>
      </c>
      <c r="E1479">
        <v>7642</v>
      </c>
      <c r="F1479">
        <v>7447</v>
      </c>
    </row>
    <row r="1480" spans="1:6" x14ac:dyDescent="0.25">
      <c r="A1480" s="1">
        <v>40942</v>
      </c>
      <c r="B1480">
        <v>7621</v>
      </c>
      <c r="C1480">
        <v>7650</v>
      </c>
      <c r="D1480">
        <v>7602</v>
      </c>
      <c r="E1480">
        <v>7641</v>
      </c>
      <c r="F1480">
        <v>7534</v>
      </c>
    </row>
    <row r="1481" spans="1:6" x14ac:dyDescent="0.25">
      <c r="A1481" s="1">
        <v>40943</v>
      </c>
      <c r="B1481">
        <v>7713</v>
      </c>
      <c r="C1481">
        <v>7758</v>
      </c>
      <c r="D1481">
        <v>7692</v>
      </c>
      <c r="E1481">
        <v>7736</v>
      </c>
      <c r="F1481">
        <v>7602.6</v>
      </c>
    </row>
    <row r="1482" spans="1:6" x14ac:dyDescent="0.25">
      <c r="A1482" s="1">
        <v>40945</v>
      </c>
      <c r="B1482">
        <v>7710</v>
      </c>
      <c r="C1482">
        <v>7724</v>
      </c>
      <c r="D1482">
        <v>7668</v>
      </c>
      <c r="E1482">
        <v>7684</v>
      </c>
      <c r="F1482">
        <v>7645.4</v>
      </c>
    </row>
    <row r="1483" spans="1:6" x14ac:dyDescent="0.25">
      <c r="A1483" s="1">
        <v>40946</v>
      </c>
      <c r="B1483">
        <v>7700</v>
      </c>
      <c r="C1483">
        <v>7750</v>
      </c>
      <c r="D1483">
        <v>7674</v>
      </c>
      <c r="E1483">
        <v>7720</v>
      </c>
      <c r="F1483">
        <v>7684.6</v>
      </c>
    </row>
    <row r="1484" spans="1:6" x14ac:dyDescent="0.25">
      <c r="A1484" s="1">
        <v>40947</v>
      </c>
      <c r="B1484">
        <v>7755</v>
      </c>
      <c r="C1484">
        <v>7894</v>
      </c>
      <c r="D1484">
        <v>7755</v>
      </c>
      <c r="E1484">
        <v>7894</v>
      </c>
      <c r="F1484">
        <v>7735</v>
      </c>
    </row>
    <row r="1485" spans="1:6" x14ac:dyDescent="0.25">
      <c r="A1485" s="1">
        <v>40948</v>
      </c>
      <c r="B1485">
        <v>7865</v>
      </c>
      <c r="C1485">
        <v>7933</v>
      </c>
      <c r="D1485">
        <v>7830</v>
      </c>
      <c r="E1485">
        <v>7925</v>
      </c>
      <c r="F1485">
        <v>7791.8</v>
      </c>
    </row>
    <row r="1486" spans="1:6" x14ac:dyDescent="0.25">
      <c r="A1486" s="1">
        <v>40949</v>
      </c>
      <c r="B1486">
        <v>7885</v>
      </c>
      <c r="C1486">
        <v>7928</v>
      </c>
      <c r="D1486">
        <v>7850</v>
      </c>
      <c r="E1486">
        <v>7864</v>
      </c>
      <c r="F1486">
        <v>7817.4</v>
      </c>
    </row>
    <row r="1487" spans="1:6" x14ac:dyDescent="0.25">
      <c r="A1487" s="1">
        <v>40952</v>
      </c>
      <c r="B1487">
        <v>7867</v>
      </c>
      <c r="C1487">
        <v>7937</v>
      </c>
      <c r="D1487">
        <v>7841</v>
      </c>
      <c r="E1487">
        <v>7909</v>
      </c>
      <c r="F1487">
        <v>7862.4</v>
      </c>
    </row>
    <row r="1488" spans="1:6" x14ac:dyDescent="0.25">
      <c r="A1488" s="1">
        <v>40953</v>
      </c>
      <c r="B1488">
        <v>7900</v>
      </c>
      <c r="C1488">
        <v>7914</v>
      </c>
      <c r="D1488">
        <v>7807</v>
      </c>
      <c r="E1488">
        <v>7872</v>
      </c>
      <c r="F1488">
        <v>7892.8</v>
      </c>
    </row>
    <row r="1489" spans="1:6" x14ac:dyDescent="0.25">
      <c r="A1489" s="1">
        <v>40954</v>
      </c>
      <c r="B1489">
        <v>7913</v>
      </c>
      <c r="C1489">
        <v>8010</v>
      </c>
      <c r="D1489">
        <v>7891</v>
      </c>
      <c r="E1489">
        <v>8006</v>
      </c>
      <c r="F1489">
        <v>7915.2</v>
      </c>
    </row>
    <row r="1490" spans="1:6" x14ac:dyDescent="0.25">
      <c r="A1490" s="1">
        <v>40955</v>
      </c>
      <c r="B1490">
        <v>7962</v>
      </c>
      <c r="C1490">
        <v>7994</v>
      </c>
      <c r="D1490">
        <v>7867</v>
      </c>
      <c r="E1490">
        <v>7906</v>
      </c>
      <c r="F1490">
        <v>7911.4</v>
      </c>
    </row>
    <row r="1491" spans="1:6" x14ac:dyDescent="0.25">
      <c r="A1491" s="1">
        <v>40956</v>
      </c>
      <c r="B1491">
        <v>7978</v>
      </c>
      <c r="C1491">
        <v>8020</v>
      </c>
      <c r="D1491">
        <v>7880</v>
      </c>
      <c r="E1491">
        <v>7930</v>
      </c>
      <c r="F1491">
        <v>7924.6</v>
      </c>
    </row>
    <row r="1492" spans="1:6" x14ac:dyDescent="0.25">
      <c r="A1492" s="1">
        <v>40959</v>
      </c>
      <c r="B1492">
        <v>7988</v>
      </c>
      <c r="C1492">
        <v>8003</v>
      </c>
      <c r="D1492">
        <v>7926</v>
      </c>
      <c r="E1492">
        <v>7959</v>
      </c>
      <c r="F1492">
        <v>7934.6</v>
      </c>
    </row>
    <row r="1493" spans="1:6" x14ac:dyDescent="0.25">
      <c r="A1493" s="1">
        <v>40960</v>
      </c>
      <c r="B1493">
        <v>7955</v>
      </c>
      <c r="C1493">
        <v>7975</v>
      </c>
      <c r="D1493">
        <v>7855</v>
      </c>
      <c r="E1493">
        <v>7949</v>
      </c>
      <c r="F1493">
        <v>7950</v>
      </c>
    </row>
    <row r="1494" spans="1:6" x14ac:dyDescent="0.25">
      <c r="A1494" s="1">
        <v>40961</v>
      </c>
      <c r="B1494">
        <v>7920</v>
      </c>
      <c r="C1494">
        <v>8036</v>
      </c>
      <c r="D1494">
        <v>7890</v>
      </c>
      <c r="E1494">
        <v>8008</v>
      </c>
      <c r="F1494">
        <v>7950.4</v>
      </c>
    </row>
    <row r="1495" spans="1:6" x14ac:dyDescent="0.25">
      <c r="A1495" s="1">
        <v>40962</v>
      </c>
      <c r="B1495">
        <v>7963</v>
      </c>
      <c r="C1495">
        <v>7990</v>
      </c>
      <c r="D1495">
        <v>7941</v>
      </c>
      <c r="E1495">
        <v>7963</v>
      </c>
      <c r="F1495">
        <v>7961.8</v>
      </c>
    </row>
    <row r="1496" spans="1:6" x14ac:dyDescent="0.25">
      <c r="A1496" s="1">
        <v>40963</v>
      </c>
      <c r="B1496">
        <v>7953</v>
      </c>
      <c r="C1496">
        <v>7975</v>
      </c>
      <c r="D1496">
        <v>7883</v>
      </c>
      <c r="E1496">
        <v>7942</v>
      </c>
      <c r="F1496">
        <v>7964.2</v>
      </c>
    </row>
    <row r="1497" spans="1:6" x14ac:dyDescent="0.25">
      <c r="A1497" s="1">
        <v>40968</v>
      </c>
      <c r="B1497">
        <v>7999</v>
      </c>
      <c r="C1497">
        <v>8126</v>
      </c>
      <c r="D1497">
        <v>7997</v>
      </c>
      <c r="E1497">
        <v>8113</v>
      </c>
      <c r="F1497">
        <v>7995</v>
      </c>
    </row>
    <row r="1498" spans="1:6" x14ac:dyDescent="0.25">
      <c r="A1498" s="1">
        <v>40969</v>
      </c>
      <c r="B1498">
        <v>8138</v>
      </c>
      <c r="C1498">
        <v>8177</v>
      </c>
      <c r="D1498">
        <v>8113</v>
      </c>
      <c r="E1498">
        <v>8139</v>
      </c>
      <c r="F1498">
        <v>8033</v>
      </c>
    </row>
    <row r="1499" spans="1:6" x14ac:dyDescent="0.25">
      <c r="A1499" s="1">
        <v>40970</v>
      </c>
      <c r="B1499">
        <v>8177</v>
      </c>
      <c r="C1499">
        <v>8187</v>
      </c>
      <c r="D1499">
        <v>8113</v>
      </c>
      <c r="E1499">
        <v>8152</v>
      </c>
      <c r="F1499">
        <v>8061.8</v>
      </c>
    </row>
    <row r="1500" spans="1:6" x14ac:dyDescent="0.25">
      <c r="A1500" s="1">
        <v>40971</v>
      </c>
      <c r="B1500">
        <v>8132</v>
      </c>
      <c r="C1500">
        <v>8132</v>
      </c>
      <c r="D1500">
        <v>8087</v>
      </c>
      <c r="E1500">
        <v>8120</v>
      </c>
      <c r="F1500">
        <v>8093.2</v>
      </c>
    </row>
    <row r="1501" spans="1:6" x14ac:dyDescent="0.25">
      <c r="A1501" s="1">
        <v>40973</v>
      </c>
      <c r="B1501">
        <v>8098</v>
      </c>
      <c r="C1501">
        <v>8108</v>
      </c>
      <c r="D1501">
        <v>8003</v>
      </c>
      <c r="E1501">
        <v>8038</v>
      </c>
      <c r="F1501">
        <v>8112.4</v>
      </c>
    </row>
    <row r="1502" spans="1:6" x14ac:dyDescent="0.25">
      <c r="A1502" s="1">
        <v>40974</v>
      </c>
      <c r="B1502">
        <v>8018</v>
      </c>
      <c r="C1502">
        <v>8035</v>
      </c>
      <c r="D1502">
        <v>7872</v>
      </c>
      <c r="E1502">
        <v>7944</v>
      </c>
      <c r="F1502">
        <v>8078.6</v>
      </c>
    </row>
    <row r="1503" spans="1:6" x14ac:dyDescent="0.25">
      <c r="A1503" s="1">
        <v>40975</v>
      </c>
      <c r="B1503">
        <v>7850</v>
      </c>
      <c r="C1503">
        <v>7928</v>
      </c>
      <c r="D1503">
        <v>7840</v>
      </c>
      <c r="E1503">
        <v>7895</v>
      </c>
      <c r="F1503">
        <v>8029.8</v>
      </c>
    </row>
    <row r="1504" spans="1:6" x14ac:dyDescent="0.25">
      <c r="A1504" s="1">
        <v>40976</v>
      </c>
      <c r="B1504">
        <v>7928</v>
      </c>
      <c r="C1504">
        <v>7999</v>
      </c>
      <c r="D1504">
        <v>7882</v>
      </c>
      <c r="E1504">
        <v>7976</v>
      </c>
      <c r="F1504">
        <v>7994.6</v>
      </c>
    </row>
    <row r="1505" spans="1:6" x14ac:dyDescent="0.25">
      <c r="A1505" s="1">
        <v>40977</v>
      </c>
      <c r="B1505">
        <v>7992</v>
      </c>
      <c r="C1505">
        <v>8030</v>
      </c>
      <c r="D1505">
        <v>7942</v>
      </c>
      <c r="E1505">
        <v>8006</v>
      </c>
      <c r="F1505">
        <v>7971.8</v>
      </c>
    </row>
    <row r="1506" spans="1:6" x14ac:dyDescent="0.25">
      <c r="A1506" s="1">
        <v>40980</v>
      </c>
      <c r="B1506">
        <v>7982</v>
      </c>
      <c r="C1506">
        <v>8008</v>
      </c>
      <c r="D1506">
        <v>7908</v>
      </c>
      <c r="E1506">
        <v>7921</v>
      </c>
      <c r="F1506">
        <v>7948.4</v>
      </c>
    </row>
    <row r="1507" spans="1:6" x14ac:dyDescent="0.25">
      <c r="A1507" s="1">
        <v>40981</v>
      </c>
      <c r="B1507">
        <v>7961</v>
      </c>
      <c r="C1507">
        <v>8065</v>
      </c>
      <c r="D1507">
        <v>7960</v>
      </c>
      <c r="E1507">
        <v>8035</v>
      </c>
      <c r="F1507">
        <v>7966.6</v>
      </c>
    </row>
    <row r="1508" spans="1:6" x14ac:dyDescent="0.25">
      <c r="A1508" s="1">
        <v>40982</v>
      </c>
      <c r="B1508">
        <v>8156</v>
      </c>
      <c r="C1508">
        <v>8188</v>
      </c>
      <c r="D1508">
        <v>8132</v>
      </c>
      <c r="E1508">
        <v>8143</v>
      </c>
      <c r="F1508">
        <v>8016.2</v>
      </c>
    </row>
    <row r="1509" spans="1:6" x14ac:dyDescent="0.25">
      <c r="A1509" s="1">
        <v>40983</v>
      </c>
      <c r="B1509">
        <v>8143</v>
      </c>
      <c r="C1509">
        <v>8159</v>
      </c>
      <c r="D1509">
        <v>8090</v>
      </c>
      <c r="E1509">
        <v>8138</v>
      </c>
      <c r="F1509">
        <v>8048.6</v>
      </c>
    </row>
    <row r="1510" spans="1:6" x14ac:dyDescent="0.25">
      <c r="A1510" s="1">
        <v>40984</v>
      </c>
      <c r="B1510">
        <v>8120</v>
      </c>
      <c r="C1510">
        <v>8142</v>
      </c>
      <c r="D1510">
        <v>8058</v>
      </c>
      <c r="E1510">
        <v>8067</v>
      </c>
      <c r="F1510">
        <v>8060.8</v>
      </c>
    </row>
    <row r="1511" spans="1:6" x14ac:dyDescent="0.25">
      <c r="A1511" s="1">
        <v>40987</v>
      </c>
      <c r="B1511">
        <v>8106</v>
      </c>
      <c r="C1511">
        <v>8115</v>
      </c>
      <c r="D1511">
        <v>7972</v>
      </c>
      <c r="E1511">
        <v>8053</v>
      </c>
      <c r="F1511">
        <v>8087.2</v>
      </c>
    </row>
    <row r="1512" spans="1:6" x14ac:dyDescent="0.25">
      <c r="A1512" s="1">
        <v>40988</v>
      </c>
      <c r="B1512">
        <v>8064</v>
      </c>
      <c r="C1512">
        <v>8078</v>
      </c>
      <c r="D1512">
        <v>7952</v>
      </c>
      <c r="E1512">
        <v>7985</v>
      </c>
      <c r="F1512">
        <v>8077.2</v>
      </c>
    </row>
    <row r="1513" spans="1:6" x14ac:dyDescent="0.25">
      <c r="A1513" s="1">
        <v>40989</v>
      </c>
      <c r="B1513">
        <v>7950</v>
      </c>
      <c r="C1513">
        <v>8016</v>
      </c>
      <c r="D1513">
        <v>7950</v>
      </c>
      <c r="E1513">
        <v>7980</v>
      </c>
      <c r="F1513">
        <v>8044.6</v>
      </c>
    </row>
    <row r="1514" spans="1:6" x14ac:dyDescent="0.25">
      <c r="A1514" s="1">
        <v>40990</v>
      </c>
      <c r="B1514">
        <v>7999</v>
      </c>
      <c r="C1514">
        <v>8095</v>
      </c>
      <c r="D1514">
        <v>7986</v>
      </c>
      <c r="E1514">
        <v>8085</v>
      </c>
      <c r="F1514">
        <v>8034</v>
      </c>
    </row>
    <row r="1515" spans="1:6" x14ac:dyDescent="0.25">
      <c r="A1515" s="1">
        <v>40991</v>
      </c>
      <c r="B1515">
        <v>8080</v>
      </c>
      <c r="C1515">
        <v>8097</v>
      </c>
      <c r="D1515">
        <v>8052</v>
      </c>
      <c r="E1515">
        <v>8084</v>
      </c>
      <c r="F1515">
        <v>8037.4</v>
      </c>
    </row>
    <row r="1516" spans="1:6" x14ac:dyDescent="0.25">
      <c r="A1516" s="1">
        <v>40994</v>
      </c>
      <c r="B1516">
        <v>8091</v>
      </c>
      <c r="C1516">
        <v>8097</v>
      </c>
      <c r="D1516">
        <v>7938</v>
      </c>
      <c r="E1516">
        <v>7960</v>
      </c>
      <c r="F1516">
        <v>8018.8</v>
      </c>
    </row>
    <row r="1517" spans="1:6" x14ac:dyDescent="0.25">
      <c r="A1517" s="1">
        <v>40995</v>
      </c>
      <c r="B1517">
        <v>8000</v>
      </c>
      <c r="C1517">
        <v>8023</v>
      </c>
      <c r="D1517">
        <v>7973</v>
      </c>
      <c r="E1517">
        <v>8011</v>
      </c>
      <c r="F1517">
        <v>8024</v>
      </c>
    </row>
    <row r="1518" spans="1:6" x14ac:dyDescent="0.25">
      <c r="A1518" s="1">
        <v>40996</v>
      </c>
      <c r="B1518">
        <v>8011</v>
      </c>
      <c r="C1518">
        <v>8078</v>
      </c>
      <c r="D1518">
        <v>7996</v>
      </c>
      <c r="E1518">
        <v>8028</v>
      </c>
      <c r="F1518">
        <v>8033.6</v>
      </c>
    </row>
    <row r="1519" spans="1:6" x14ac:dyDescent="0.25">
      <c r="A1519" s="1">
        <v>40997</v>
      </c>
      <c r="B1519">
        <v>7995</v>
      </c>
      <c r="C1519">
        <v>8006</v>
      </c>
      <c r="D1519">
        <v>7820</v>
      </c>
      <c r="E1519">
        <v>7848</v>
      </c>
      <c r="F1519">
        <v>7986.2</v>
      </c>
    </row>
    <row r="1520" spans="1:6" x14ac:dyDescent="0.25">
      <c r="A1520" s="1">
        <v>40998</v>
      </c>
      <c r="B1520">
        <v>7803</v>
      </c>
      <c r="C1520">
        <v>7906</v>
      </c>
      <c r="D1520">
        <v>7786</v>
      </c>
      <c r="E1520">
        <v>7885</v>
      </c>
      <c r="F1520">
        <v>7946.4</v>
      </c>
    </row>
    <row r="1521" spans="1:6" x14ac:dyDescent="0.25">
      <c r="A1521" s="1">
        <v>41001</v>
      </c>
      <c r="B1521">
        <v>7888</v>
      </c>
      <c r="C1521">
        <v>7904</v>
      </c>
      <c r="D1521">
        <v>7833</v>
      </c>
      <c r="E1521">
        <v>7864</v>
      </c>
      <c r="F1521">
        <v>7927.2</v>
      </c>
    </row>
    <row r="1522" spans="1:6" x14ac:dyDescent="0.25">
      <c r="A1522" s="1">
        <v>41002</v>
      </c>
      <c r="B1522">
        <v>7887</v>
      </c>
      <c r="C1522">
        <v>7919</v>
      </c>
      <c r="D1522">
        <v>7737</v>
      </c>
      <c r="E1522">
        <v>7777</v>
      </c>
      <c r="F1522">
        <v>7880.4</v>
      </c>
    </row>
    <row r="1523" spans="1:6" x14ac:dyDescent="0.25">
      <c r="A1523" s="1">
        <v>41004</v>
      </c>
      <c r="B1523">
        <v>7640</v>
      </c>
      <c r="C1523">
        <v>7666</v>
      </c>
      <c r="D1523">
        <v>7524</v>
      </c>
      <c r="E1523">
        <v>7619</v>
      </c>
      <c r="F1523">
        <v>7798.6</v>
      </c>
    </row>
    <row r="1524" spans="1:6" x14ac:dyDescent="0.25">
      <c r="A1524" s="1">
        <v>41005</v>
      </c>
      <c r="B1524">
        <v>7619</v>
      </c>
      <c r="C1524">
        <v>7688</v>
      </c>
      <c r="D1524">
        <v>7613</v>
      </c>
      <c r="E1524">
        <v>7673</v>
      </c>
      <c r="F1524">
        <v>7763.6</v>
      </c>
    </row>
    <row r="1525" spans="1:6" x14ac:dyDescent="0.25">
      <c r="A1525" s="1">
        <v>41008</v>
      </c>
      <c r="B1525">
        <v>7562</v>
      </c>
      <c r="C1525">
        <v>7633</v>
      </c>
      <c r="D1525">
        <v>7503</v>
      </c>
      <c r="E1525">
        <v>7576</v>
      </c>
      <c r="F1525">
        <v>7701.8</v>
      </c>
    </row>
    <row r="1526" spans="1:6" x14ac:dyDescent="0.25">
      <c r="A1526" s="1">
        <v>41009</v>
      </c>
      <c r="B1526">
        <v>7628</v>
      </c>
      <c r="C1526">
        <v>7683</v>
      </c>
      <c r="D1526">
        <v>7578</v>
      </c>
      <c r="E1526">
        <v>7612</v>
      </c>
      <c r="F1526">
        <v>7651.4</v>
      </c>
    </row>
    <row r="1527" spans="1:6" x14ac:dyDescent="0.25">
      <c r="A1527" s="1">
        <v>41010</v>
      </c>
      <c r="B1527">
        <v>7509</v>
      </c>
      <c r="C1527">
        <v>7649</v>
      </c>
      <c r="D1527">
        <v>7507</v>
      </c>
      <c r="E1527">
        <v>7642</v>
      </c>
      <c r="F1527">
        <v>7624.4</v>
      </c>
    </row>
    <row r="1528" spans="1:6" x14ac:dyDescent="0.25">
      <c r="A1528" s="1">
        <v>41011</v>
      </c>
      <c r="B1528">
        <v>7625</v>
      </c>
      <c r="C1528">
        <v>7649</v>
      </c>
      <c r="D1528">
        <v>7568</v>
      </c>
      <c r="E1528">
        <v>7637</v>
      </c>
      <c r="F1528">
        <v>7628</v>
      </c>
    </row>
    <row r="1529" spans="1:6" x14ac:dyDescent="0.25">
      <c r="A1529" s="1">
        <v>41012</v>
      </c>
      <c r="B1529">
        <v>7695</v>
      </c>
      <c r="C1529">
        <v>7765</v>
      </c>
      <c r="D1529">
        <v>7685</v>
      </c>
      <c r="E1529">
        <v>7756</v>
      </c>
      <c r="F1529">
        <v>7644.6</v>
      </c>
    </row>
    <row r="1530" spans="1:6" x14ac:dyDescent="0.25">
      <c r="A1530" s="1">
        <v>41015</v>
      </c>
      <c r="B1530">
        <v>7700</v>
      </c>
      <c r="C1530">
        <v>7734</v>
      </c>
      <c r="D1530">
        <v>7681</v>
      </c>
      <c r="E1530">
        <v>7712</v>
      </c>
      <c r="F1530">
        <v>7671.8</v>
      </c>
    </row>
    <row r="1531" spans="1:6" x14ac:dyDescent="0.25">
      <c r="A1531" s="1">
        <v>41016</v>
      </c>
      <c r="B1531">
        <v>7720</v>
      </c>
      <c r="C1531">
        <v>7739</v>
      </c>
      <c r="D1531">
        <v>7585</v>
      </c>
      <c r="E1531">
        <v>7594</v>
      </c>
      <c r="F1531">
        <v>7668.2</v>
      </c>
    </row>
    <row r="1532" spans="1:6" x14ac:dyDescent="0.25">
      <c r="A1532" s="1">
        <v>41017</v>
      </c>
      <c r="B1532">
        <v>7670</v>
      </c>
      <c r="C1532">
        <v>7690</v>
      </c>
      <c r="D1532">
        <v>7600</v>
      </c>
      <c r="E1532">
        <v>7619</v>
      </c>
      <c r="F1532">
        <v>7663.6</v>
      </c>
    </row>
    <row r="1533" spans="1:6" x14ac:dyDescent="0.25">
      <c r="A1533" s="1">
        <v>41018</v>
      </c>
      <c r="B1533">
        <v>7600</v>
      </c>
      <c r="C1533">
        <v>7626</v>
      </c>
      <c r="D1533">
        <v>7511</v>
      </c>
      <c r="E1533">
        <v>7615</v>
      </c>
      <c r="F1533">
        <v>7659.2</v>
      </c>
    </row>
    <row r="1534" spans="1:6" x14ac:dyDescent="0.25">
      <c r="A1534" s="1">
        <v>41019</v>
      </c>
      <c r="B1534">
        <v>7590</v>
      </c>
      <c r="C1534">
        <v>7599</v>
      </c>
      <c r="D1534">
        <v>7490</v>
      </c>
      <c r="E1534">
        <v>7513</v>
      </c>
      <c r="F1534">
        <v>7610.6</v>
      </c>
    </row>
    <row r="1535" spans="1:6" x14ac:dyDescent="0.25">
      <c r="A1535" s="1">
        <v>41022</v>
      </c>
      <c r="B1535">
        <v>7500</v>
      </c>
      <c r="C1535">
        <v>7510</v>
      </c>
      <c r="D1535">
        <v>7417</v>
      </c>
      <c r="E1535">
        <v>7477</v>
      </c>
      <c r="F1535">
        <v>7563.6</v>
      </c>
    </row>
    <row r="1536" spans="1:6" x14ac:dyDescent="0.25">
      <c r="A1536" s="1">
        <v>41023</v>
      </c>
      <c r="B1536">
        <v>7440</v>
      </c>
      <c r="C1536">
        <v>7533</v>
      </c>
      <c r="D1536">
        <v>7434</v>
      </c>
      <c r="E1536">
        <v>7490</v>
      </c>
      <c r="F1536">
        <v>7542.8</v>
      </c>
    </row>
    <row r="1537" spans="1:6" x14ac:dyDescent="0.25">
      <c r="A1537" s="1">
        <v>41024</v>
      </c>
      <c r="B1537">
        <v>7533</v>
      </c>
      <c r="C1537">
        <v>7572</v>
      </c>
      <c r="D1537">
        <v>7510</v>
      </c>
      <c r="E1537">
        <v>7541</v>
      </c>
      <c r="F1537">
        <v>7527.2</v>
      </c>
    </row>
    <row r="1538" spans="1:6" x14ac:dyDescent="0.25">
      <c r="A1538" s="1">
        <v>41025</v>
      </c>
      <c r="B1538">
        <v>7570</v>
      </c>
      <c r="C1538">
        <v>7584</v>
      </c>
      <c r="D1538">
        <v>7480</v>
      </c>
      <c r="E1538">
        <v>7494</v>
      </c>
      <c r="F1538">
        <v>7503</v>
      </c>
    </row>
    <row r="1539" spans="1:6" x14ac:dyDescent="0.25">
      <c r="A1539" s="1">
        <v>41026</v>
      </c>
      <c r="B1539">
        <v>7536</v>
      </c>
      <c r="C1539">
        <v>7560</v>
      </c>
      <c r="D1539">
        <v>7435</v>
      </c>
      <c r="E1539">
        <v>7446</v>
      </c>
      <c r="F1539">
        <v>7489.6</v>
      </c>
    </row>
    <row r="1540" spans="1:6" x14ac:dyDescent="0.25">
      <c r="A1540" s="1">
        <v>41029</v>
      </c>
      <c r="B1540">
        <v>7450</v>
      </c>
      <c r="C1540">
        <v>7469</v>
      </c>
      <c r="D1540">
        <v>7396</v>
      </c>
      <c r="E1540">
        <v>7466</v>
      </c>
      <c r="F1540">
        <v>7487.4</v>
      </c>
    </row>
    <row r="1541" spans="1:6" x14ac:dyDescent="0.25">
      <c r="A1541" s="1">
        <v>41031</v>
      </c>
      <c r="B1541">
        <v>7498</v>
      </c>
      <c r="C1541">
        <v>7683</v>
      </c>
      <c r="D1541">
        <v>7491</v>
      </c>
      <c r="E1541">
        <v>7679</v>
      </c>
      <c r="F1541">
        <v>7525.2</v>
      </c>
    </row>
    <row r="1542" spans="1:6" x14ac:dyDescent="0.25">
      <c r="A1542" s="1">
        <v>41032</v>
      </c>
      <c r="B1542">
        <v>7675</v>
      </c>
      <c r="C1542">
        <v>7675</v>
      </c>
      <c r="D1542">
        <v>7636</v>
      </c>
      <c r="E1542">
        <v>7659</v>
      </c>
      <c r="F1542">
        <v>7548.8</v>
      </c>
    </row>
    <row r="1543" spans="1:6" x14ac:dyDescent="0.25">
      <c r="A1543" s="1">
        <v>41033</v>
      </c>
      <c r="B1543">
        <v>7620</v>
      </c>
      <c r="C1543">
        <v>7684</v>
      </c>
      <c r="D1543">
        <v>7583</v>
      </c>
      <c r="E1543">
        <v>7665</v>
      </c>
      <c r="F1543">
        <v>7583</v>
      </c>
    </row>
    <row r="1544" spans="1:6" x14ac:dyDescent="0.25">
      <c r="A1544" s="1">
        <v>41036</v>
      </c>
      <c r="B1544">
        <v>7564</v>
      </c>
      <c r="C1544">
        <v>7578</v>
      </c>
      <c r="D1544">
        <v>7491</v>
      </c>
      <c r="E1544">
        <v>7501</v>
      </c>
      <c r="F1544">
        <v>7594</v>
      </c>
    </row>
    <row r="1545" spans="1:6" x14ac:dyDescent="0.25">
      <c r="A1545" s="1">
        <v>41037</v>
      </c>
      <c r="B1545">
        <v>7523</v>
      </c>
      <c r="C1545">
        <v>7544</v>
      </c>
      <c r="D1545">
        <v>7493</v>
      </c>
      <c r="E1545">
        <v>7522</v>
      </c>
      <c r="F1545">
        <v>7605.2</v>
      </c>
    </row>
    <row r="1546" spans="1:6" x14ac:dyDescent="0.25">
      <c r="A1546" s="1">
        <v>41038</v>
      </c>
      <c r="B1546">
        <v>7480</v>
      </c>
      <c r="C1546">
        <v>7490</v>
      </c>
      <c r="D1546">
        <v>7418</v>
      </c>
      <c r="E1546">
        <v>7461</v>
      </c>
      <c r="F1546">
        <v>7561.6</v>
      </c>
    </row>
    <row r="1547" spans="1:6" x14ac:dyDescent="0.25">
      <c r="A1547" s="1">
        <v>41039</v>
      </c>
      <c r="B1547">
        <v>7426</v>
      </c>
      <c r="C1547">
        <v>7516</v>
      </c>
      <c r="D1547">
        <v>7426</v>
      </c>
      <c r="E1547">
        <v>7484</v>
      </c>
      <c r="F1547">
        <v>7526.6</v>
      </c>
    </row>
    <row r="1548" spans="1:6" x14ac:dyDescent="0.25">
      <c r="A1548" s="1">
        <v>41040</v>
      </c>
      <c r="B1548">
        <v>7472</v>
      </c>
      <c r="C1548">
        <v>7472</v>
      </c>
      <c r="D1548">
        <v>7356</v>
      </c>
      <c r="E1548">
        <v>7362</v>
      </c>
      <c r="F1548">
        <v>7466</v>
      </c>
    </row>
    <row r="1549" spans="1:6" x14ac:dyDescent="0.25">
      <c r="A1549" s="1">
        <v>41043</v>
      </c>
      <c r="B1549">
        <v>7382</v>
      </c>
      <c r="C1549">
        <v>7398</v>
      </c>
      <c r="D1549">
        <v>7327</v>
      </c>
      <c r="E1549">
        <v>7370</v>
      </c>
      <c r="F1549">
        <v>7439.8</v>
      </c>
    </row>
    <row r="1550" spans="1:6" x14ac:dyDescent="0.25">
      <c r="A1550" s="1">
        <v>41044</v>
      </c>
      <c r="B1550">
        <v>7306</v>
      </c>
      <c r="C1550">
        <v>7406</v>
      </c>
      <c r="D1550">
        <v>7291</v>
      </c>
      <c r="E1550">
        <v>7385</v>
      </c>
      <c r="F1550">
        <v>7412.4</v>
      </c>
    </row>
    <row r="1551" spans="1:6" x14ac:dyDescent="0.25">
      <c r="A1551" s="1">
        <v>41045</v>
      </c>
      <c r="B1551">
        <v>7359</v>
      </c>
      <c r="C1551">
        <v>7387</v>
      </c>
      <c r="D1551">
        <v>7249</v>
      </c>
      <c r="E1551">
        <v>7254</v>
      </c>
      <c r="F1551">
        <v>7371</v>
      </c>
    </row>
    <row r="1552" spans="1:6" x14ac:dyDescent="0.25">
      <c r="A1552" s="1">
        <v>41046</v>
      </c>
      <c r="B1552">
        <v>7262</v>
      </c>
      <c r="C1552">
        <v>7333</v>
      </c>
      <c r="D1552">
        <v>7251</v>
      </c>
      <c r="E1552">
        <v>7316</v>
      </c>
      <c r="F1552">
        <v>7337.4</v>
      </c>
    </row>
    <row r="1553" spans="1:6" x14ac:dyDescent="0.25">
      <c r="A1553" s="1">
        <v>41047</v>
      </c>
      <c r="B1553">
        <v>7198</v>
      </c>
      <c r="C1553">
        <v>7230</v>
      </c>
      <c r="D1553">
        <v>7128</v>
      </c>
      <c r="E1553">
        <v>7132</v>
      </c>
      <c r="F1553">
        <v>7291.4</v>
      </c>
    </row>
    <row r="1554" spans="1:6" x14ac:dyDescent="0.25">
      <c r="A1554" s="1">
        <v>41050</v>
      </c>
      <c r="B1554">
        <v>7175</v>
      </c>
      <c r="C1554">
        <v>7208</v>
      </c>
      <c r="D1554">
        <v>7156</v>
      </c>
      <c r="E1554">
        <v>7187</v>
      </c>
      <c r="F1554">
        <v>7254.8</v>
      </c>
    </row>
    <row r="1555" spans="1:6" x14ac:dyDescent="0.25">
      <c r="A1555" s="1">
        <v>41051</v>
      </c>
      <c r="B1555">
        <v>7260</v>
      </c>
      <c r="C1555">
        <v>7262</v>
      </c>
      <c r="D1555">
        <v>7202</v>
      </c>
      <c r="E1555">
        <v>7237</v>
      </c>
      <c r="F1555">
        <v>7225.2</v>
      </c>
    </row>
    <row r="1556" spans="1:6" x14ac:dyDescent="0.25">
      <c r="A1556" s="1">
        <v>41052</v>
      </c>
      <c r="B1556">
        <v>7165</v>
      </c>
      <c r="C1556">
        <v>7171</v>
      </c>
      <c r="D1556">
        <v>7091</v>
      </c>
      <c r="E1556">
        <v>7134</v>
      </c>
      <c r="F1556">
        <v>7201.2</v>
      </c>
    </row>
    <row r="1557" spans="1:6" x14ac:dyDescent="0.25">
      <c r="A1557" s="1">
        <v>41053</v>
      </c>
      <c r="B1557">
        <v>7155</v>
      </c>
      <c r="C1557">
        <v>7177</v>
      </c>
      <c r="D1557">
        <v>7082</v>
      </c>
      <c r="E1557">
        <v>7130</v>
      </c>
      <c r="F1557">
        <v>7164</v>
      </c>
    </row>
    <row r="1558" spans="1:6" x14ac:dyDescent="0.25">
      <c r="A1558" s="1">
        <v>41054</v>
      </c>
      <c r="B1558">
        <v>7160</v>
      </c>
      <c r="C1558">
        <v>7160</v>
      </c>
      <c r="D1558">
        <v>7048</v>
      </c>
      <c r="E1558">
        <v>7055</v>
      </c>
      <c r="F1558">
        <v>7148.6</v>
      </c>
    </row>
    <row r="1559" spans="1:6" x14ac:dyDescent="0.25">
      <c r="A1559" s="1">
        <v>41057</v>
      </c>
      <c r="B1559">
        <v>7071</v>
      </c>
      <c r="C1559">
        <v>7132</v>
      </c>
      <c r="D1559">
        <v>7025</v>
      </c>
      <c r="E1559">
        <v>7116</v>
      </c>
      <c r="F1559">
        <v>7134.4</v>
      </c>
    </row>
    <row r="1560" spans="1:6" x14ac:dyDescent="0.25">
      <c r="A1560" s="1">
        <v>41058</v>
      </c>
      <c r="B1560">
        <v>7109</v>
      </c>
      <c r="C1560">
        <v>7336</v>
      </c>
      <c r="D1560">
        <v>7105</v>
      </c>
      <c r="E1560">
        <v>7294</v>
      </c>
      <c r="F1560">
        <v>7145.8</v>
      </c>
    </row>
    <row r="1561" spans="1:6" x14ac:dyDescent="0.25">
      <c r="A1561" s="1">
        <v>41059</v>
      </c>
      <c r="B1561">
        <v>7274</v>
      </c>
      <c r="C1561">
        <v>7274</v>
      </c>
      <c r="D1561">
        <v>7196</v>
      </c>
      <c r="E1561">
        <v>7234</v>
      </c>
      <c r="F1561">
        <v>7165.8</v>
      </c>
    </row>
    <row r="1562" spans="1:6" x14ac:dyDescent="0.25">
      <c r="A1562" s="1">
        <v>41060</v>
      </c>
      <c r="B1562">
        <v>7134</v>
      </c>
      <c r="C1562">
        <v>7255</v>
      </c>
      <c r="D1562">
        <v>7086</v>
      </c>
      <c r="E1562">
        <v>7215</v>
      </c>
      <c r="F1562">
        <v>7182.8</v>
      </c>
    </row>
    <row r="1563" spans="1:6" x14ac:dyDescent="0.25">
      <c r="A1563" s="1">
        <v>41061</v>
      </c>
      <c r="B1563">
        <v>7223</v>
      </c>
      <c r="C1563">
        <v>7223</v>
      </c>
      <c r="D1563">
        <v>7075</v>
      </c>
      <c r="E1563">
        <v>7097</v>
      </c>
      <c r="F1563">
        <v>7191.2</v>
      </c>
    </row>
    <row r="1564" spans="1:6" x14ac:dyDescent="0.25">
      <c r="A1564" s="1">
        <v>41064</v>
      </c>
      <c r="B1564">
        <v>6921</v>
      </c>
      <c r="C1564">
        <v>6934</v>
      </c>
      <c r="D1564">
        <v>6832</v>
      </c>
      <c r="E1564">
        <v>6867</v>
      </c>
      <c r="F1564">
        <v>7141.4</v>
      </c>
    </row>
    <row r="1565" spans="1:6" x14ac:dyDescent="0.25">
      <c r="A1565" s="1">
        <v>41065</v>
      </c>
      <c r="B1565">
        <v>6943</v>
      </c>
      <c r="C1565">
        <v>7005</v>
      </c>
      <c r="D1565">
        <v>6925</v>
      </c>
      <c r="E1565">
        <v>6970</v>
      </c>
      <c r="F1565">
        <v>7076.6</v>
      </c>
    </row>
    <row r="1566" spans="1:6" x14ac:dyDescent="0.25">
      <c r="A1566" s="1">
        <v>41066</v>
      </c>
      <c r="B1566">
        <v>6992</v>
      </c>
      <c r="C1566">
        <v>7055</v>
      </c>
      <c r="D1566">
        <v>6958</v>
      </c>
      <c r="E1566">
        <v>7015</v>
      </c>
      <c r="F1566">
        <v>7032.8</v>
      </c>
    </row>
    <row r="1567" spans="1:6" x14ac:dyDescent="0.25">
      <c r="A1567" s="1">
        <v>41067</v>
      </c>
      <c r="B1567">
        <v>7145</v>
      </c>
      <c r="C1567">
        <v>7145</v>
      </c>
      <c r="D1567">
        <v>7020</v>
      </c>
      <c r="E1567">
        <v>7047</v>
      </c>
      <c r="F1567">
        <v>6999.2</v>
      </c>
    </row>
    <row r="1568" spans="1:6" x14ac:dyDescent="0.25">
      <c r="A1568" s="1">
        <v>41068</v>
      </c>
      <c r="B1568">
        <v>7010</v>
      </c>
      <c r="C1568">
        <v>7040</v>
      </c>
      <c r="D1568">
        <v>6946</v>
      </c>
      <c r="E1568">
        <v>6953</v>
      </c>
      <c r="F1568">
        <v>6970.4</v>
      </c>
    </row>
    <row r="1569" spans="1:6" x14ac:dyDescent="0.25">
      <c r="A1569" s="1">
        <v>41071</v>
      </c>
      <c r="B1569">
        <v>7075</v>
      </c>
      <c r="C1569">
        <v>7136</v>
      </c>
      <c r="D1569">
        <v>7060</v>
      </c>
      <c r="E1569">
        <v>7094</v>
      </c>
      <c r="F1569">
        <v>7015.8</v>
      </c>
    </row>
    <row r="1570" spans="1:6" x14ac:dyDescent="0.25">
      <c r="A1570" s="1">
        <v>41072</v>
      </c>
      <c r="B1570">
        <v>6982</v>
      </c>
      <c r="C1570">
        <v>7037</v>
      </c>
      <c r="D1570">
        <v>6962</v>
      </c>
      <c r="E1570">
        <v>7019</v>
      </c>
      <c r="F1570">
        <v>7025.6</v>
      </c>
    </row>
    <row r="1571" spans="1:6" x14ac:dyDescent="0.25">
      <c r="A1571" s="1">
        <v>41073</v>
      </c>
      <c r="B1571">
        <v>7042</v>
      </c>
      <c r="C1571">
        <v>7070</v>
      </c>
      <c r="D1571">
        <v>7002</v>
      </c>
      <c r="E1571">
        <v>7047</v>
      </c>
      <c r="F1571">
        <v>7032</v>
      </c>
    </row>
    <row r="1572" spans="1:6" x14ac:dyDescent="0.25">
      <c r="A1572" s="1">
        <v>41074</v>
      </c>
      <c r="B1572">
        <v>7035</v>
      </c>
      <c r="C1572">
        <v>7108</v>
      </c>
      <c r="D1572">
        <v>7032</v>
      </c>
      <c r="E1572">
        <v>7065</v>
      </c>
      <c r="F1572">
        <v>7035.6</v>
      </c>
    </row>
    <row r="1573" spans="1:6" x14ac:dyDescent="0.25">
      <c r="A1573" s="1">
        <v>41075</v>
      </c>
      <c r="B1573">
        <v>7045</v>
      </c>
      <c r="C1573">
        <v>7162</v>
      </c>
      <c r="D1573">
        <v>7043</v>
      </c>
      <c r="E1573">
        <v>7159</v>
      </c>
      <c r="F1573">
        <v>7076.8</v>
      </c>
    </row>
    <row r="1574" spans="1:6" x14ac:dyDescent="0.25">
      <c r="A1574" s="1">
        <v>41078</v>
      </c>
      <c r="B1574">
        <v>7305</v>
      </c>
      <c r="C1574">
        <v>7323</v>
      </c>
      <c r="D1574">
        <v>7245</v>
      </c>
      <c r="E1574">
        <v>7263</v>
      </c>
      <c r="F1574">
        <v>7110.6</v>
      </c>
    </row>
    <row r="1575" spans="1:6" x14ac:dyDescent="0.25">
      <c r="A1575" s="1">
        <v>41079</v>
      </c>
      <c r="B1575">
        <v>7260</v>
      </c>
      <c r="C1575">
        <v>7270</v>
      </c>
      <c r="D1575">
        <v>7234</v>
      </c>
      <c r="E1575">
        <v>7264</v>
      </c>
      <c r="F1575">
        <v>7159.6</v>
      </c>
    </row>
    <row r="1576" spans="1:6" x14ac:dyDescent="0.25">
      <c r="A1576" s="1">
        <v>41080</v>
      </c>
      <c r="B1576">
        <v>7300</v>
      </c>
      <c r="C1576">
        <v>7319</v>
      </c>
      <c r="D1576">
        <v>7281</v>
      </c>
      <c r="E1576">
        <v>7312</v>
      </c>
      <c r="F1576">
        <v>7212.6</v>
      </c>
    </row>
    <row r="1577" spans="1:6" x14ac:dyDescent="0.25">
      <c r="A1577" s="1">
        <v>41081</v>
      </c>
      <c r="B1577">
        <v>7165</v>
      </c>
      <c r="C1577">
        <v>7166</v>
      </c>
      <c r="D1577">
        <v>7093</v>
      </c>
      <c r="E1577">
        <v>7115</v>
      </c>
      <c r="F1577">
        <v>7222.6</v>
      </c>
    </row>
    <row r="1578" spans="1:6" x14ac:dyDescent="0.25">
      <c r="A1578" s="1">
        <v>41082</v>
      </c>
      <c r="B1578">
        <v>7020</v>
      </c>
      <c r="C1578">
        <v>7048</v>
      </c>
      <c r="D1578">
        <v>6996</v>
      </c>
      <c r="E1578">
        <v>7035</v>
      </c>
      <c r="F1578">
        <v>7197.8</v>
      </c>
    </row>
    <row r="1579" spans="1:6" x14ac:dyDescent="0.25">
      <c r="A1579" s="1">
        <v>41085</v>
      </c>
      <c r="B1579">
        <v>6950</v>
      </c>
      <c r="C1579">
        <v>6978</v>
      </c>
      <c r="D1579">
        <v>6939</v>
      </c>
      <c r="E1579">
        <v>6946</v>
      </c>
      <c r="F1579">
        <v>7134.4</v>
      </c>
    </row>
    <row r="1580" spans="1:6" x14ac:dyDescent="0.25">
      <c r="A1580" s="1">
        <v>41086</v>
      </c>
      <c r="B1580">
        <v>6939</v>
      </c>
      <c r="C1580">
        <v>6960</v>
      </c>
      <c r="D1580">
        <v>6923</v>
      </c>
      <c r="E1580">
        <v>6938</v>
      </c>
      <c r="F1580">
        <v>7069.2</v>
      </c>
    </row>
    <row r="1581" spans="1:6" x14ac:dyDescent="0.25">
      <c r="A1581" s="1">
        <v>41087</v>
      </c>
      <c r="B1581">
        <v>6919</v>
      </c>
      <c r="C1581">
        <v>7005</v>
      </c>
      <c r="D1581">
        <v>6898</v>
      </c>
      <c r="E1581">
        <v>6988</v>
      </c>
      <c r="F1581">
        <v>7004.4</v>
      </c>
    </row>
    <row r="1582" spans="1:6" x14ac:dyDescent="0.25">
      <c r="A1582" s="1">
        <v>41088</v>
      </c>
      <c r="B1582">
        <v>7025</v>
      </c>
      <c r="C1582">
        <v>7037</v>
      </c>
      <c r="D1582">
        <v>6962</v>
      </c>
      <c r="E1582">
        <v>7002</v>
      </c>
      <c r="F1582">
        <v>6981.8</v>
      </c>
    </row>
    <row r="1583" spans="1:6" x14ac:dyDescent="0.25">
      <c r="A1583" s="1">
        <v>41089</v>
      </c>
      <c r="B1583">
        <v>6981</v>
      </c>
      <c r="C1583">
        <v>7128</v>
      </c>
      <c r="D1583">
        <v>6981</v>
      </c>
      <c r="E1583">
        <v>7118</v>
      </c>
      <c r="F1583">
        <v>6998.4</v>
      </c>
    </row>
    <row r="1584" spans="1:6" x14ac:dyDescent="0.25">
      <c r="A1584" s="1">
        <v>41092</v>
      </c>
      <c r="B1584">
        <v>7114</v>
      </c>
      <c r="C1584">
        <v>7151</v>
      </c>
      <c r="D1584">
        <v>7107</v>
      </c>
      <c r="E1584">
        <v>7135</v>
      </c>
      <c r="F1584">
        <v>7036.2</v>
      </c>
    </row>
    <row r="1585" spans="1:6" x14ac:dyDescent="0.25">
      <c r="A1585" s="1">
        <v>41093</v>
      </c>
      <c r="B1585">
        <v>7170</v>
      </c>
      <c r="C1585">
        <v>7280</v>
      </c>
      <c r="D1585">
        <v>7160</v>
      </c>
      <c r="E1585">
        <v>7230</v>
      </c>
      <c r="F1585">
        <v>7094.6</v>
      </c>
    </row>
    <row r="1586" spans="1:6" x14ac:dyDescent="0.25">
      <c r="A1586" s="1">
        <v>41094</v>
      </c>
      <c r="B1586">
        <v>7261</v>
      </c>
      <c r="C1586">
        <v>7326</v>
      </c>
      <c r="D1586">
        <v>7250</v>
      </c>
      <c r="E1586">
        <v>7290</v>
      </c>
      <c r="F1586">
        <v>7155</v>
      </c>
    </row>
    <row r="1587" spans="1:6" x14ac:dyDescent="0.25">
      <c r="A1587" s="1">
        <v>41095</v>
      </c>
      <c r="B1587">
        <v>7298</v>
      </c>
      <c r="C1587">
        <v>7320</v>
      </c>
      <c r="D1587">
        <v>7277</v>
      </c>
      <c r="E1587">
        <v>7297</v>
      </c>
      <c r="F1587">
        <v>7214</v>
      </c>
    </row>
    <row r="1588" spans="1:6" x14ac:dyDescent="0.25">
      <c r="A1588" s="1">
        <v>41096</v>
      </c>
      <c r="B1588">
        <v>7288</v>
      </c>
      <c r="C1588">
        <v>7318</v>
      </c>
      <c r="D1588">
        <v>7237</v>
      </c>
      <c r="E1588">
        <v>7273</v>
      </c>
      <c r="F1588">
        <v>7245</v>
      </c>
    </row>
    <row r="1589" spans="1:6" x14ac:dyDescent="0.25">
      <c r="A1589" s="1">
        <v>41099</v>
      </c>
      <c r="B1589">
        <v>7213</v>
      </c>
      <c r="C1589">
        <v>7272</v>
      </c>
      <c r="D1589">
        <v>7202</v>
      </c>
      <c r="E1589">
        <v>7237</v>
      </c>
      <c r="F1589">
        <v>7265.4</v>
      </c>
    </row>
    <row r="1590" spans="1:6" x14ac:dyDescent="0.25">
      <c r="A1590" s="1">
        <v>41100</v>
      </c>
      <c r="B1590">
        <v>7250</v>
      </c>
      <c r="C1590">
        <v>7269</v>
      </c>
      <c r="D1590">
        <v>7162</v>
      </c>
      <c r="E1590">
        <v>7181</v>
      </c>
      <c r="F1590">
        <v>7255.6</v>
      </c>
    </row>
    <row r="1591" spans="1:6" x14ac:dyDescent="0.25">
      <c r="A1591" s="1">
        <v>41101</v>
      </c>
      <c r="B1591">
        <v>7151</v>
      </c>
      <c r="C1591">
        <v>7204</v>
      </c>
      <c r="D1591">
        <v>7133</v>
      </c>
      <c r="E1591">
        <v>7186</v>
      </c>
      <c r="F1591">
        <v>7234.8</v>
      </c>
    </row>
    <row r="1592" spans="1:6" x14ac:dyDescent="0.25">
      <c r="A1592" s="1">
        <v>41102</v>
      </c>
      <c r="B1592">
        <v>7180</v>
      </c>
      <c r="C1592">
        <v>7189</v>
      </c>
      <c r="D1592">
        <v>7068</v>
      </c>
      <c r="E1592">
        <v>7078</v>
      </c>
      <c r="F1592">
        <v>7191</v>
      </c>
    </row>
    <row r="1593" spans="1:6" x14ac:dyDescent="0.25">
      <c r="A1593" s="1">
        <v>41103</v>
      </c>
      <c r="B1593">
        <v>7079</v>
      </c>
      <c r="C1593">
        <v>7107</v>
      </c>
      <c r="D1593">
        <v>7045</v>
      </c>
      <c r="E1593">
        <v>7072</v>
      </c>
      <c r="F1593">
        <v>7150.8</v>
      </c>
    </row>
    <row r="1594" spans="1:6" x14ac:dyDescent="0.25">
      <c r="A1594" s="1">
        <v>41106</v>
      </c>
      <c r="B1594">
        <v>7096</v>
      </c>
      <c r="C1594">
        <v>7110</v>
      </c>
      <c r="D1594">
        <v>7021</v>
      </c>
      <c r="E1594">
        <v>7055</v>
      </c>
      <c r="F1594">
        <v>7114.4</v>
      </c>
    </row>
    <row r="1595" spans="1:6" x14ac:dyDescent="0.25">
      <c r="A1595" s="1">
        <v>41107</v>
      </c>
      <c r="B1595">
        <v>7042</v>
      </c>
      <c r="C1595">
        <v>7136</v>
      </c>
      <c r="D1595">
        <v>7030</v>
      </c>
      <c r="E1595">
        <v>7110</v>
      </c>
      <c r="F1595">
        <v>7100.2</v>
      </c>
    </row>
    <row r="1596" spans="1:6" x14ac:dyDescent="0.25">
      <c r="A1596" s="1">
        <v>41108</v>
      </c>
      <c r="B1596">
        <v>7116</v>
      </c>
      <c r="C1596">
        <v>7116</v>
      </c>
      <c r="D1596">
        <v>7056</v>
      </c>
      <c r="E1596">
        <v>7059</v>
      </c>
      <c r="F1596">
        <v>7074.8</v>
      </c>
    </row>
    <row r="1597" spans="1:6" x14ac:dyDescent="0.25">
      <c r="A1597" s="1">
        <v>41109</v>
      </c>
      <c r="B1597">
        <v>6965</v>
      </c>
      <c r="C1597">
        <v>7032</v>
      </c>
      <c r="D1597">
        <v>6945</v>
      </c>
      <c r="E1597">
        <v>7025</v>
      </c>
      <c r="F1597">
        <v>7064.2</v>
      </c>
    </row>
    <row r="1598" spans="1:6" x14ac:dyDescent="0.25">
      <c r="A1598" s="1">
        <v>41110</v>
      </c>
      <c r="B1598">
        <v>7020</v>
      </c>
      <c r="C1598">
        <v>7039</v>
      </c>
      <c r="D1598">
        <v>6996</v>
      </c>
      <c r="E1598">
        <v>7013</v>
      </c>
      <c r="F1598">
        <v>7052.4</v>
      </c>
    </row>
    <row r="1599" spans="1:6" x14ac:dyDescent="0.25">
      <c r="A1599" s="1">
        <v>41113</v>
      </c>
      <c r="B1599">
        <v>6936</v>
      </c>
      <c r="C1599">
        <v>6936</v>
      </c>
      <c r="D1599">
        <v>6844</v>
      </c>
      <c r="E1599">
        <v>6871</v>
      </c>
      <c r="F1599">
        <v>7015.6</v>
      </c>
    </row>
    <row r="1600" spans="1:6" x14ac:dyDescent="0.25">
      <c r="A1600" s="1">
        <v>41114</v>
      </c>
      <c r="B1600">
        <v>6862</v>
      </c>
      <c r="C1600">
        <v>6888</v>
      </c>
      <c r="D1600">
        <v>6850</v>
      </c>
      <c r="E1600">
        <v>6875</v>
      </c>
      <c r="F1600">
        <v>6968.6</v>
      </c>
    </row>
    <row r="1601" spans="1:6" x14ac:dyDescent="0.25">
      <c r="A1601" s="1">
        <v>41115</v>
      </c>
      <c r="B1601">
        <v>6792</v>
      </c>
      <c r="C1601">
        <v>6912</v>
      </c>
      <c r="D1601">
        <v>6776</v>
      </c>
      <c r="E1601">
        <v>6843</v>
      </c>
      <c r="F1601">
        <v>6925.4</v>
      </c>
    </row>
    <row r="1602" spans="1:6" x14ac:dyDescent="0.25">
      <c r="A1602" s="1">
        <v>41116</v>
      </c>
      <c r="B1602">
        <v>6860</v>
      </c>
      <c r="C1602">
        <v>6905</v>
      </c>
      <c r="D1602">
        <v>6833</v>
      </c>
      <c r="E1602">
        <v>6877</v>
      </c>
      <c r="F1602">
        <v>6895.8</v>
      </c>
    </row>
    <row r="1603" spans="1:6" x14ac:dyDescent="0.25">
      <c r="A1603" s="1">
        <v>41117</v>
      </c>
      <c r="B1603">
        <v>6968</v>
      </c>
      <c r="C1603">
        <v>7032</v>
      </c>
      <c r="D1603">
        <v>6946</v>
      </c>
      <c r="E1603">
        <v>7032</v>
      </c>
      <c r="F1603">
        <v>6899.6</v>
      </c>
    </row>
    <row r="1604" spans="1:6" x14ac:dyDescent="0.25">
      <c r="A1604" s="1">
        <v>41120</v>
      </c>
      <c r="B1604">
        <v>7097</v>
      </c>
      <c r="C1604">
        <v>7102</v>
      </c>
      <c r="D1604">
        <v>7056</v>
      </c>
      <c r="E1604">
        <v>7078</v>
      </c>
      <c r="F1604">
        <v>6941</v>
      </c>
    </row>
    <row r="1605" spans="1:6" x14ac:dyDescent="0.25">
      <c r="A1605" s="1">
        <v>41121</v>
      </c>
      <c r="B1605">
        <v>7098</v>
      </c>
      <c r="C1605">
        <v>7178</v>
      </c>
      <c r="D1605">
        <v>7061</v>
      </c>
      <c r="E1605">
        <v>7157</v>
      </c>
      <c r="F1605">
        <v>6997.4</v>
      </c>
    </row>
    <row r="1606" spans="1:6" x14ac:dyDescent="0.25">
      <c r="A1606" s="1">
        <v>41122</v>
      </c>
      <c r="B1606">
        <v>7131</v>
      </c>
      <c r="C1606">
        <v>7211</v>
      </c>
      <c r="D1606">
        <v>7131</v>
      </c>
      <c r="E1606">
        <v>7194</v>
      </c>
      <c r="F1606">
        <v>7067.6</v>
      </c>
    </row>
    <row r="1607" spans="1:6" x14ac:dyDescent="0.25">
      <c r="A1607" s="1">
        <v>41124</v>
      </c>
      <c r="B1607">
        <v>7142</v>
      </c>
      <c r="C1607">
        <v>7165</v>
      </c>
      <c r="D1607">
        <v>7116</v>
      </c>
      <c r="E1607">
        <v>7139</v>
      </c>
      <c r="F1607">
        <v>7120</v>
      </c>
    </row>
    <row r="1608" spans="1:6" x14ac:dyDescent="0.25">
      <c r="A1608" s="1">
        <v>41127</v>
      </c>
      <c r="B1608">
        <v>7265</v>
      </c>
      <c r="C1608">
        <v>7314</v>
      </c>
      <c r="D1608">
        <v>7235</v>
      </c>
      <c r="E1608">
        <v>7236</v>
      </c>
      <c r="F1608">
        <v>7160.8</v>
      </c>
    </row>
    <row r="1609" spans="1:6" x14ac:dyDescent="0.25">
      <c r="A1609" s="1">
        <v>41128</v>
      </c>
      <c r="B1609">
        <v>7237</v>
      </c>
      <c r="C1609">
        <v>7263</v>
      </c>
      <c r="D1609">
        <v>7223</v>
      </c>
      <c r="E1609">
        <v>7236</v>
      </c>
      <c r="F1609">
        <v>7192.4</v>
      </c>
    </row>
    <row r="1610" spans="1:6" x14ac:dyDescent="0.25">
      <c r="A1610" s="1">
        <v>41129</v>
      </c>
      <c r="B1610">
        <v>7300</v>
      </c>
      <c r="C1610">
        <v>7336</v>
      </c>
      <c r="D1610">
        <v>7278</v>
      </c>
      <c r="E1610">
        <v>7298</v>
      </c>
      <c r="F1610">
        <v>7220.6</v>
      </c>
    </row>
    <row r="1611" spans="1:6" x14ac:dyDescent="0.25">
      <c r="A1611" s="1">
        <v>41130</v>
      </c>
      <c r="B1611">
        <v>7353</v>
      </c>
      <c r="C1611">
        <v>7451</v>
      </c>
      <c r="D1611">
        <v>7346</v>
      </c>
      <c r="E1611">
        <v>7442</v>
      </c>
      <c r="F1611">
        <v>7270.2</v>
      </c>
    </row>
    <row r="1612" spans="1:6" x14ac:dyDescent="0.25">
      <c r="A1612" s="1">
        <v>41131</v>
      </c>
      <c r="B1612">
        <v>7459</v>
      </c>
      <c r="C1612">
        <v>7465</v>
      </c>
      <c r="D1612">
        <v>7425</v>
      </c>
      <c r="E1612">
        <v>7446</v>
      </c>
      <c r="F1612">
        <v>7331.6</v>
      </c>
    </row>
    <row r="1613" spans="1:6" x14ac:dyDescent="0.25">
      <c r="A1613" s="1">
        <v>41134</v>
      </c>
      <c r="B1613">
        <v>7437</v>
      </c>
      <c r="C1613">
        <v>7475</v>
      </c>
      <c r="D1613">
        <v>7430</v>
      </c>
      <c r="E1613">
        <v>7454</v>
      </c>
      <c r="F1613">
        <v>7375.2</v>
      </c>
    </row>
    <row r="1614" spans="1:6" x14ac:dyDescent="0.25">
      <c r="A1614" s="1">
        <v>41135</v>
      </c>
      <c r="B1614">
        <v>7478</v>
      </c>
      <c r="C1614">
        <v>7545</v>
      </c>
      <c r="D1614">
        <v>7451</v>
      </c>
      <c r="E1614">
        <v>7498</v>
      </c>
      <c r="F1614">
        <v>7427.6</v>
      </c>
    </row>
    <row r="1615" spans="1:6" x14ac:dyDescent="0.25">
      <c r="A1615" s="1">
        <v>41136</v>
      </c>
      <c r="B1615">
        <v>7493</v>
      </c>
      <c r="C1615">
        <v>7497</v>
      </c>
      <c r="D1615">
        <v>7433</v>
      </c>
      <c r="E1615">
        <v>7469</v>
      </c>
      <c r="F1615">
        <v>7461.8</v>
      </c>
    </row>
    <row r="1616" spans="1:6" x14ac:dyDescent="0.25">
      <c r="A1616" s="1">
        <v>41137</v>
      </c>
      <c r="B1616">
        <v>7461</v>
      </c>
      <c r="C1616">
        <v>7520</v>
      </c>
      <c r="D1616">
        <v>7441</v>
      </c>
      <c r="E1616">
        <v>7493</v>
      </c>
      <c r="F1616">
        <v>7472</v>
      </c>
    </row>
    <row r="1617" spans="1:6" x14ac:dyDescent="0.25">
      <c r="A1617" s="1">
        <v>41138</v>
      </c>
      <c r="B1617">
        <v>7510</v>
      </c>
      <c r="C1617">
        <v>7511</v>
      </c>
      <c r="D1617">
        <v>7468</v>
      </c>
      <c r="E1617">
        <v>7476</v>
      </c>
      <c r="F1617">
        <v>7478</v>
      </c>
    </row>
    <row r="1618" spans="1:6" x14ac:dyDescent="0.25">
      <c r="A1618" s="1">
        <v>41141</v>
      </c>
      <c r="B1618">
        <v>7474</v>
      </c>
      <c r="C1618">
        <v>7475</v>
      </c>
      <c r="D1618">
        <v>7397</v>
      </c>
      <c r="E1618">
        <v>7440</v>
      </c>
      <c r="F1618">
        <v>7475.2</v>
      </c>
    </row>
    <row r="1619" spans="1:6" x14ac:dyDescent="0.25">
      <c r="A1619" s="1">
        <v>41142</v>
      </c>
      <c r="B1619">
        <v>7463</v>
      </c>
      <c r="C1619">
        <v>7552</v>
      </c>
      <c r="D1619">
        <v>7456</v>
      </c>
      <c r="E1619">
        <v>7515</v>
      </c>
      <c r="F1619">
        <v>7478.6</v>
      </c>
    </row>
    <row r="1620" spans="1:6" x14ac:dyDescent="0.25">
      <c r="A1620" s="1">
        <v>41143</v>
      </c>
      <c r="B1620">
        <v>7486</v>
      </c>
      <c r="C1620">
        <v>7508</v>
      </c>
      <c r="D1620">
        <v>7453</v>
      </c>
      <c r="E1620">
        <v>7491</v>
      </c>
      <c r="F1620">
        <v>7483</v>
      </c>
    </row>
    <row r="1621" spans="1:6" x14ac:dyDescent="0.25">
      <c r="A1621" s="1">
        <v>41144</v>
      </c>
      <c r="B1621">
        <v>7475</v>
      </c>
      <c r="C1621">
        <v>7533</v>
      </c>
      <c r="D1621">
        <v>7468</v>
      </c>
      <c r="E1621">
        <v>7514</v>
      </c>
      <c r="F1621">
        <v>7487.2</v>
      </c>
    </row>
    <row r="1622" spans="1:6" x14ac:dyDescent="0.25">
      <c r="A1622" s="1">
        <v>41145</v>
      </c>
      <c r="B1622">
        <v>7454</v>
      </c>
      <c r="C1622">
        <v>7490</v>
      </c>
      <c r="D1622">
        <v>7441</v>
      </c>
      <c r="E1622">
        <v>7489</v>
      </c>
      <c r="F1622">
        <v>7489.8</v>
      </c>
    </row>
    <row r="1623" spans="1:6" x14ac:dyDescent="0.25">
      <c r="A1623" s="1">
        <v>41148</v>
      </c>
      <c r="B1623">
        <v>7528</v>
      </c>
      <c r="C1623">
        <v>7551</v>
      </c>
      <c r="D1623">
        <v>7452</v>
      </c>
      <c r="E1623">
        <v>7456</v>
      </c>
      <c r="F1623">
        <v>7493</v>
      </c>
    </row>
    <row r="1624" spans="1:6" x14ac:dyDescent="0.25">
      <c r="A1624" s="1">
        <v>41149</v>
      </c>
      <c r="B1624">
        <v>7432</v>
      </c>
      <c r="C1624">
        <v>7442</v>
      </c>
      <c r="D1624">
        <v>7376</v>
      </c>
      <c r="E1624">
        <v>7398</v>
      </c>
      <c r="F1624">
        <v>7469.6</v>
      </c>
    </row>
    <row r="1625" spans="1:6" x14ac:dyDescent="0.25">
      <c r="A1625" s="1">
        <v>41150</v>
      </c>
      <c r="B1625">
        <v>7401</v>
      </c>
      <c r="C1625">
        <v>7413</v>
      </c>
      <c r="D1625">
        <v>7381</v>
      </c>
      <c r="E1625">
        <v>7404</v>
      </c>
      <c r="F1625">
        <v>7452.2</v>
      </c>
    </row>
    <row r="1626" spans="1:6" x14ac:dyDescent="0.25">
      <c r="A1626" s="1">
        <v>41151</v>
      </c>
      <c r="B1626">
        <v>7360</v>
      </c>
      <c r="C1626">
        <v>7394</v>
      </c>
      <c r="D1626">
        <v>7341</v>
      </c>
      <c r="E1626">
        <v>7365</v>
      </c>
      <c r="F1626">
        <v>7422.4</v>
      </c>
    </row>
    <row r="1627" spans="1:6" x14ac:dyDescent="0.25">
      <c r="A1627" s="1">
        <v>41152</v>
      </c>
      <c r="B1627">
        <v>7369</v>
      </c>
      <c r="C1627">
        <v>7419</v>
      </c>
      <c r="D1627">
        <v>7363</v>
      </c>
      <c r="E1627">
        <v>7381</v>
      </c>
      <c r="F1627">
        <v>7400.8</v>
      </c>
    </row>
    <row r="1628" spans="1:6" x14ac:dyDescent="0.25">
      <c r="A1628" s="1">
        <v>41155</v>
      </c>
      <c r="B1628">
        <v>7356</v>
      </c>
      <c r="C1628">
        <v>7465</v>
      </c>
      <c r="D1628">
        <v>7352</v>
      </c>
      <c r="E1628">
        <v>7442</v>
      </c>
      <c r="F1628">
        <v>7398</v>
      </c>
    </row>
    <row r="1629" spans="1:6" x14ac:dyDescent="0.25">
      <c r="A1629" s="1">
        <v>41156</v>
      </c>
      <c r="B1629">
        <v>7442</v>
      </c>
      <c r="C1629">
        <v>7469</v>
      </c>
      <c r="D1629">
        <v>7431</v>
      </c>
      <c r="E1629">
        <v>7448</v>
      </c>
      <c r="F1629">
        <v>7408</v>
      </c>
    </row>
    <row r="1630" spans="1:6" x14ac:dyDescent="0.25">
      <c r="A1630" s="1">
        <v>41157</v>
      </c>
      <c r="B1630">
        <v>7402</v>
      </c>
      <c r="C1630">
        <v>7410</v>
      </c>
      <c r="D1630">
        <v>7340</v>
      </c>
      <c r="E1630">
        <v>7344</v>
      </c>
      <c r="F1630">
        <v>7396</v>
      </c>
    </row>
    <row r="1631" spans="1:6" x14ac:dyDescent="0.25">
      <c r="A1631" s="1">
        <v>41158</v>
      </c>
      <c r="B1631">
        <v>7329</v>
      </c>
      <c r="C1631">
        <v>7368</v>
      </c>
      <c r="D1631">
        <v>7286</v>
      </c>
      <c r="E1631">
        <v>7332</v>
      </c>
      <c r="F1631">
        <v>7389.4</v>
      </c>
    </row>
    <row r="1632" spans="1:6" x14ac:dyDescent="0.25">
      <c r="A1632" s="1">
        <v>41159</v>
      </c>
      <c r="B1632">
        <v>7460</v>
      </c>
      <c r="C1632">
        <v>7480</v>
      </c>
      <c r="D1632">
        <v>7404</v>
      </c>
      <c r="E1632">
        <v>7418</v>
      </c>
      <c r="F1632">
        <v>7396.8</v>
      </c>
    </row>
    <row r="1633" spans="1:6" x14ac:dyDescent="0.25">
      <c r="A1633" s="1">
        <v>41162</v>
      </c>
      <c r="B1633">
        <v>7424</v>
      </c>
      <c r="C1633">
        <v>7468</v>
      </c>
      <c r="D1633">
        <v>7413</v>
      </c>
      <c r="E1633">
        <v>7456</v>
      </c>
      <c r="F1633">
        <v>7399.6</v>
      </c>
    </row>
    <row r="1634" spans="1:6" x14ac:dyDescent="0.25">
      <c r="A1634" s="1">
        <v>41163</v>
      </c>
      <c r="B1634">
        <v>7448</v>
      </c>
      <c r="C1634">
        <v>7490</v>
      </c>
      <c r="D1634">
        <v>7438</v>
      </c>
      <c r="E1634">
        <v>7465</v>
      </c>
      <c r="F1634">
        <v>7403</v>
      </c>
    </row>
    <row r="1635" spans="1:6" x14ac:dyDescent="0.25">
      <c r="A1635" s="1">
        <v>41164</v>
      </c>
      <c r="B1635">
        <v>7510</v>
      </c>
      <c r="C1635">
        <v>7587</v>
      </c>
      <c r="D1635">
        <v>7506</v>
      </c>
      <c r="E1635">
        <v>7587</v>
      </c>
      <c r="F1635">
        <v>7451.6</v>
      </c>
    </row>
    <row r="1636" spans="1:6" x14ac:dyDescent="0.25">
      <c r="A1636" s="1">
        <v>41165</v>
      </c>
      <c r="B1636">
        <v>7588</v>
      </c>
      <c r="C1636">
        <v>7609</v>
      </c>
      <c r="D1636">
        <v>7571</v>
      </c>
      <c r="E1636">
        <v>7576</v>
      </c>
      <c r="F1636">
        <v>7500.4</v>
      </c>
    </row>
    <row r="1637" spans="1:6" x14ac:dyDescent="0.25">
      <c r="A1637" s="1">
        <v>41166</v>
      </c>
      <c r="B1637">
        <v>7698</v>
      </c>
      <c r="C1637">
        <v>7758</v>
      </c>
      <c r="D1637">
        <v>7671</v>
      </c>
      <c r="E1637">
        <v>7739</v>
      </c>
      <c r="F1637">
        <v>7564.6</v>
      </c>
    </row>
    <row r="1638" spans="1:6" x14ac:dyDescent="0.25">
      <c r="A1638" s="1">
        <v>41169</v>
      </c>
      <c r="B1638">
        <v>7731</v>
      </c>
      <c r="C1638">
        <v>7767</v>
      </c>
      <c r="D1638">
        <v>7726</v>
      </c>
      <c r="E1638">
        <v>7751</v>
      </c>
      <c r="F1638">
        <v>7623.6</v>
      </c>
    </row>
    <row r="1639" spans="1:6" x14ac:dyDescent="0.25">
      <c r="A1639" s="1">
        <v>41170</v>
      </c>
      <c r="B1639">
        <v>7735</v>
      </c>
      <c r="C1639">
        <v>7769</v>
      </c>
      <c r="D1639">
        <v>7713</v>
      </c>
      <c r="E1639">
        <v>7749</v>
      </c>
      <c r="F1639">
        <v>7680.4</v>
      </c>
    </row>
    <row r="1640" spans="1:6" x14ac:dyDescent="0.25">
      <c r="A1640" s="1">
        <v>41171</v>
      </c>
      <c r="B1640">
        <v>7749</v>
      </c>
      <c r="C1640">
        <v>7794</v>
      </c>
      <c r="D1640">
        <v>7740</v>
      </c>
      <c r="E1640">
        <v>7768</v>
      </c>
      <c r="F1640">
        <v>7716.6</v>
      </c>
    </row>
    <row r="1641" spans="1:6" x14ac:dyDescent="0.25">
      <c r="A1641" s="1">
        <v>41172</v>
      </c>
      <c r="B1641">
        <v>7777</v>
      </c>
      <c r="C1641">
        <v>7786</v>
      </c>
      <c r="D1641">
        <v>7716</v>
      </c>
      <c r="E1641">
        <v>7748</v>
      </c>
      <c r="F1641">
        <v>7751</v>
      </c>
    </row>
    <row r="1642" spans="1:6" x14ac:dyDescent="0.25">
      <c r="A1642" s="1">
        <v>41173</v>
      </c>
      <c r="B1642">
        <v>7771</v>
      </c>
      <c r="C1642">
        <v>7782</v>
      </c>
      <c r="D1642">
        <v>7748</v>
      </c>
      <c r="E1642">
        <v>7762</v>
      </c>
      <c r="F1642">
        <v>7755.6</v>
      </c>
    </row>
    <row r="1643" spans="1:6" x14ac:dyDescent="0.25">
      <c r="A1643" s="1">
        <v>41176</v>
      </c>
      <c r="B1643">
        <v>7743</v>
      </c>
      <c r="C1643">
        <v>7811</v>
      </c>
      <c r="D1643">
        <v>7686</v>
      </c>
      <c r="E1643">
        <v>7778</v>
      </c>
      <c r="F1643">
        <v>7761</v>
      </c>
    </row>
    <row r="1644" spans="1:6" x14ac:dyDescent="0.25">
      <c r="A1644" s="1">
        <v>41177</v>
      </c>
      <c r="B1644">
        <v>7778</v>
      </c>
      <c r="C1644">
        <v>7810</v>
      </c>
      <c r="D1644">
        <v>7745</v>
      </c>
      <c r="E1644">
        <v>7755</v>
      </c>
      <c r="F1644">
        <v>7762.2</v>
      </c>
    </row>
    <row r="1645" spans="1:6" x14ac:dyDescent="0.25">
      <c r="A1645" s="1">
        <v>41178</v>
      </c>
      <c r="B1645">
        <v>7696</v>
      </c>
      <c r="C1645">
        <v>7725</v>
      </c>
      <c r="D1645">
        <v>7669</v>
      </c>
      <c r="E1645">
        <v>7701</v>
      </c>
      <c r="F1645">
        <v>7748.8</v>
      </c>
    </row>
    <row r="1646" spans="1:6" x14ac:dyDescent="0.25">
      <c r="A1646" s="1">
        <v>41179</v>
      </c>
      <c r="B1646">
        <v>7680</v>
      </c>
      <c r="C1646">
        <v>7730</v>
      </c>
      <c r="D1646">
        <v>7679</v>
      </c>
      <c r="E1646">
        <v>7730</v>
      </c>
      <c r="F1646">
        <v>7745.2</v>
      </c>
    </row>
    <row r="1647" spans="1:6" x14ac:dyDescent="0.25">
      <c r="A1647" s="1">
        <v>41180</v>
      </c>
      <c r="B1647">
        <v>7731</v>
      </c>
      <c r="C1647">
        <v>7748</v>
      </c>
      <c r="D1647">
        <v>7666</v>
      </c>
      <c r="E1647">
        <v>7717</v>
      </c>
      <c r="F1647">
        <v>7736.2</v>
      </c>
    </row>
    <row r="1648" spans="1:6" x14ac:dyDescent="0.25">
      <c r="A1648" s="1">
        <v>41183</v>
      </c>
      <c r="B1648">
        <v>7692</v>
      </c>
      <c r="C1648">
        <v>7706</v>
      </c>
      <c r="D1648">
        <v>7666</v>
      </c>
      <c r="E1648">
        <v>7684</v>
      </c>
      <c r="F1648">
        <v>7717.4</v>
      </c>
    </row>
    <row r="1649" spans="1:6" x14ac:dyDescent="0.25">
      <c r="A1649" s="1">
        <v>41184</v>
      </c>
      <c r="B1649">
        <v>7720</v>
      </c>
      <c r="C1649">
        <v>7748</v>
      </c>
      <c r="D1649">
        <v>7693</v>
      </c>
      <c r="E1649">
        <v>7729</v>
      </c>
      <c r="F1649">
        <v>7712.2</v>
      </c>
    </row>
    <row r="1650" spans="1:6" x14ac:dyDescent="0.25">
      <c r="A1650" s="1">
        <v>41185</v>
      </c>
      <c r="B1650">
        <v>7738</v>
      </c>
      <c r="C1650">
        <v>7741</v>
      </c>
      <c r="D1650">
        <v>7688</v>
      </c>
      <c r="E1650">
        <v>7704</v>
      </c>
      <c r="F1650">
        <v>7712.8</v>
      </c>
    </row>
    <row r="1651" spans="1:6" x14ac:dyDescent="0.25">
      <c r="A1651" s="1">
        <v>41186</v>
      </c>
      <c r="B1651">
        <v>7710</v>
      </c>
      <c r="C1651">
        <v>7715</v>
      </c>
      <c r="D1651">
        <v>7633</v>
      </c>
      <c r="E1651">
        <v>7708</v>
      </c>
      <c r="F1651">
        <v>7708.4</v>
      </c>
    </row>
    <row r="1652" spans="1:6" x14ac:dyDescent="0.25">
      <c r="A1652" s="1">
        <v>41187</v>
      </c>
      <c r="B1652">
        <v>7716</v>
      </c>
      <c r="C1652">
        <v>7733</v>
      </c>
      <c r="D1652">
        <v>7681</v>
      </c>
      <c r="E1652">
        <v>7702</v>
      </c>
      <c r="F1652">
        <v>7705.4</v>
      </c>
    </row>
    <row r="1653" spans="1:6" x14ac:dyDescent="0.25">
      <c r="A1653" s="1">
        <v>41190</v>
      </c>
      <c r="B1653">
        <v>7680</v>
      </c>
      <c r="C1653">
        <v>7692</v>
      </c>
      <c r="D1653">
        <v>7613</v>
      </c>
      <c r="E1653">
        <v>7626</v>
      </c>
      <c r="F1653">
        <v>7693.8</v>
      </c>
    </row>
    <row r="1654" spans="1:6" x14ac:dyDescent="0.25">
      <c r="A1654" s="1">
        <v>41191</v>
      </c>
      <c r="B1654">
        <v>7628</v>
      </c>
      <c r="C1654">
        <v>7646</v>
      </c>
      <c r="D1654">
        <v>7595</v>
      </c>
      <c r="E1654">
        <v>7595</v>
      </c>
      <c r="F1654">
        <v>7667</v>
      </c>
    </row>
    <row r="1655" spans="1:6" x14ac:dyDescent="0.25">
      <c r="A1655" s="1">
        <v>41193</v>
      </c>
      <c r="B1655">
        <v>7503</v>
      </c>
      <c r="C1655">
        <v>7508</v>
      </c>
      <c r="D1655">
        <v>7442</v>
      </c>
      <c r="E1655">
        <v>7443</v>
      </c>
      <c r="F1655">
        <v>7614.8</v>
      </c>
    </row>
    <row r="1656" spans="1:6" x14ac:dyDescent="0.25">
      <c r="A1656" s="1">
        <v>41194</v>
      </c>
      <c r="B1656">
        <v>7436</v>
      </c>
      <c r="C1656">
        <v>7462</v>
      </c>
      <c r="D1656">
        <v>7384</v>
      </c>
      <c r="E1656">
        <v>7412</v>
      </c>
      <c r="F1656">
        <v>7555.6</v>
      </c>
    </row>
    <row r="1657" spans="1:6" x14ac:dyDescent="0.25">
      <c r="A1657" s="1">
        <v>41197</v>
      </c>
      <c r="B1657">
        <v>7391</v>
      </c>
      <c r="C1657">
        <v>7434</v>
      </c>
      <c r="D1657">
        <v>7386</v>
      </c>
      <c r="E1657">
        <v>7426</v>
      </c>
      <c r="F1657">
        <v>7500.4</v>
      </c>
    </row>
    <row r="1658" spans="1:6" x14ac:dyDescent="0.25">
      <c r="A1658" s="1">
        <v>41198</v>
      </c>
      <c r="B1658">
        <v>7462</v>
      </c>
      <c r="C1658">
        <v>7463</v>
      </c>
      <c r="D1658">
        <v>7435</v>
      </c>
      <c r="E1658">
        <v>7456</v>
      </c>
      <c r="F1658">
        <v>7466.4</v>
      </c>
    </row>
    <row r="1659" spans="1:6" x14ac:dyDescent="0.25">
      <c r="A1659" s="1">
        <v>41199</v>
      </c>
      <c r="B1659">
        <v>7501</v>
      </c>
      <c r="C1659">
        <v>7525</v>
      </c>
      <c r="D1659">
        <v>7452</v>
      </c>
      <c r="E1659">
        <v>7460</v>
      </c>
      <c r="F1659">
        <v>7439.4</v>
      </c>
    </row>
    <row r="1660" spans="1:6" x14ac:dyDescent="0.25">
      <c r="A1660" s="1">
        <v>41200</v>
      </c>
      <c r="B1660">
        <v>7463</v>
      </c>
      <c r="C1660">
        <v>7478</v>
      </c>
      <c r="D1660">
        <v>7442</v>
      </c>
      <c r="E1660">
        <v>7453</v>
      </c>
      <c r="F1660">
        <v>7441.4</v>
      </c>
    </row>
    <row r="1661" spans="1:6" x14ac:dyDescent="0.25">
      <c r="A1661" s="1">
        <v>41201</v>
      </c>
      <c r="B1661">
        <v>7465</v>
      </c>
      <c r="C1661">
        <v>7468</v>
      </c>
      <c r="D1661">
        <v>7385</v>
      </c>
      <c r="E1661">
        <v>7385</v>
      </c>
      <c r="F1661">
        <v>7436</v>
      </c>
    </row>
    <row r="1662" spans="1:6" x14ac:dyDescent="0.25">
      <c r="A1662" s="1">
        <v>41204</v>
      </c>
      <c r="B1662">
        <v>7290</v>
      </c>
      <c r="C1662">
        <v>7360</v>
      </c>
      <c r="D1662">
        <v>7287</v>
      </c>
      <c r="E1662">
        <v>7348</v>
      </c>
      <c r="F1662">
        <v>7420.4</v>
      </c>
    </row>
    <row r="1663" spans="1:6" x14ac:dyDescent="0.25">
      <c r="A1663" s="1">
        <v>41205</v>
      </c>
      <c r="B1663">
        <v>7342</v>
      </c>
      <c r="C1663">
        <v>7350</v>
      </c>
      <c r="D1663">
        <v>7294</v>
      </c>
      <c r="E1663">
        <v>7298</v>
      </c>
      <c r="F1663">
        <v>7388.8</v>
      </c>
    </row>
    <row r="1664" spans="1:6" x14ac:dyDescent="0.25">
      <c r="A1664" s="1">
        <v>41206</v>
      </c>
      <c r="B1664">
        <v>7235</v>
      </c>
      <c r="C1664">
        <v>7346</v>
      </c>
      <c r="D1664">
        <v>7225</v>
      </c>
      <c r="E1664">
        <v>7304</v>
      </c>
      <c r="F1664">
        <v>7357.6</v>
      </c>
    </row>
    <row r="1665" spans="1:6" x14ac:dyDescent="0.25">
      <c r="A1665" s="1">
        <v>41207</v>
      </c>
      <c r="B1665">
        <v>7305</v>
      </c>
      <c r="C1665">
        <v>7320</v>
      </c>
      <c r="D1665">
        <v>7251</v>
      </c>
      <c r="E1665">
        <v>7258</v>
      </c>
      <c r="F1665">
        <v>7318.6</v>
      </c>
    </row>
    <row r="1666" spans="1:6" x14ac:dyDescent="0.25">
      <c r="A1666" s="1">
        <v>41208</v>
      </c>
      <c r="B1666">
        <v>7234</v>
      </c>
      <c r="C1666">
        <v>7287</v>
      </c>
      <c r="D1666">
        <v>7090</v>
      </c>
      <c r="E1666">
        <v>7093</v>
      </c>
      <c r="F1666">
        <v>7260.2</v>
      </c>
    </row>
    <row r="1667" spans="1:6" x14ac:dyDescent="0.25">
      <c r="A1667" s="1">
        <v>41211</v>
      </c>
      <c r="B1667">
        <v>7112</v>
      </c>
      <c r="C1667">
        <v>7154</v>
      </c>
      <c r="D1667">
        <v>7092</v>
      </c>
      <c r="E1667">
        <v>7122</v>
      </c>
      <c r="F1667">
        <v>7215</v>
      </c>
    </row>
    <row r="1668" spans="1:6" x14ac:dyDescent="0.25">
      <c r="A1668" s="1">
        <v>41212</v>
      </c>
      <c r="B1668">
        <v>7165</v>
      </c>
      <c r="C1668">
        <v>7220</v>
      </c>
      <c r="D1668">
        <v>7142</v>
      </c>
      <c r="E1668">
        <v>7162</v>
      </c>
      <c r="F1668">
        <v>7187.8</v>
      </c>
    </row>
    <row r="1669" spans="1:6" x14ac:dyDescent="0.25">
      <c r="A1669" s="1">
        <v>41213</v>
      </c>
      <c r="B1669">
        <v>7195</v>
      </c>
      <c r="C1669">
        <v>7212</v>
      </c>
      <c r="D1669">
        <v>7125</v>
      </c>
      <c r="E1669">
        <v>7140</v>
      </c>
      <c r="F1669">
        <v>7155</v>
      </c>
    </row>
    <row r="1670" spans="1:6" x14ac:dyDescent="0.25">
      <c r="A1670" s="1">
        <v>41214</v>
      </c>
      <c r="B1670">
        <v>7091</v>
      </c>
      <c r="C1670">
        <v>7192</v>
      </c>
      <c r="D1670">
        <v>7030</v>
      </c>
      <c r="E1670">
        <v>7174</v>
      </c>
      <c r="F1670">
        <v>7138.2</v>
      </c>
    </row>
    <row r="1671" spans="1:6" x14ac:dyDescent="0.25">
      <c r="A1671" s="1">
        <v>41215</v>
      </c>
      <c r="B1671">
        <v>7219</v>
      </c>
      <c r="C1671">
        <v>7226</v>
      </c>
      <c r="D1671">
        <v>7182</v>
      </c>
      <c r="E1671">
        <v>7200</v>
      </c>
      <c r="F1671">
        <v>7159.6</v>
      </c>
    </row>
    <row r="1672" spans="1:6" x14ac:dyDescent="0.25">
      <c r="A1672" s="1">
        <v>41218</v>
      </c>
      <c r="B1672">
        <v>7195</v>
      </c>
      <c r="C1672">
        <v>7221</v>
      </c>
      <c r="D1672">
        <v>7146</v>
      </c>
      <c r="E1672">
        <v>7181</v>
      </c>
      <c r="F1672">
        <v>7171.4</v>
      </c>
    </row>
    <row r="1673" spans="1:6" x14ac:dyDescent="0.25">
      <c r="A1673" s="1">
        <v>41219</v>
      </c>
      <c r="B1673">
        <v>7183</v>
      </c>
      <c r="C1673">
        <v>7259</v>
      </c>
      <c r="D1673">
        <v>7163</v>
      </c>
      <c r="E1673">
        <v>7259</v>
      </c>
      <c r="F1673">
        <v>7190.8</v>
      </c>
    </row>
    <row r="1674" spans="1:6" x14ac:dyDescent="0.25">
      <c r="A1674" s="1">
        <v>41220</v>
      </c>
      <c r="B1674">
        <v>7235</v>
      </c>
      <c r="C1674">
        <v>7292</v>
      </c>
      <c r="D1674">
        <v>7193</v>
      </c>
      <c r="E1674">
        <v>7257</v>
      </c>
      <c r="F1674">
        <v>7214.2</v>
      </c>
    </row>
    <row r="1675" spans="1:6" x14ac:dyDescent="0.25">
      <c r="A1675" s="1">
        <v>41221</v>
      </c>
      <c r="B1675">
        <v>7173</v>
      </c>
      <c r="C1675">
        <v>7219</v>
      </c>
      <c r="D1675">
        <v>7160</v>
      </c>
      <c r="E1675">
        <v>7200</v>
      </c>
      <c r="F1675">
        <v>7219.4</v>
      </c>
    </row>
    <row r="1676" spans="1:6" x14ac:dyDescent="0.25">
      <c r="A1676" s="1">
        <v>41222</v>
      </c>
      <c r="B1676">
        <v>7146</v>
      </c>
      <c r="C1676">
        <v>7300</v>
      </c>
      <c r="D1676">
        <v>7127</v>
      </c>
      <c r="E1676">
        <v>7285</v>
      </c>
      <c r="F1676">
        <v>7236.4</v>
      </c>
    </row>
    <row r="1677" spans="1:6" x14ac:dyDescent="0.25">
      <c r="A1677" s="1">
        <v>41225</v>
      </c>
      <c r="B1677">
        <v>7270</v>
      </c>
      <c r="C1677">
        <v>7305</v>
      </c>
      <c r="D1677">
        <v>7238</v>
      </c>
      <c r="E1677">
        <v>7244</v>
      </c>
      <c r="F1677">
        <v>7249</v>
      </c>
    </row>
    <row r="1678" spans="1:6" x14ac:dyDescent="0.25">
      <c r="A1678" s="1">
        <v>41226</v>
      </c>
      <c r="B1678">
        <v>7233</v>
      </c>
      <c r="C1678">
        <v>7238</v>
      </c>
      <c r="D1678">
        <v>7092</v>
      </c>
      <c r="E1678">
        <v>7093</v>
      </c>
      <c r="F1678">
        <v>7215.8</v>
      </c>
    </row>
    <row r="1679" spans="1:6" x14ac:dyDescent="0.25">
      <c r="A1679" s="1">
        <v>41227</v>
      </c>
      <c r="B1679">
        <v>7086</v>
      </c>
      <c r="C1679">
        <v>7149</v>
      </c>
      <c r="D1679">
        <v>7076</v>
      </c>
      <c r="E1679">
        <v>7127</v>
      </c>
      <c r="F1679">
        <v>7189.8</v>
      </c>
    </row>
    <row r="1680" spans="1:6" x14ac:dyDescent="0.25">
      <c r="A1680" s="1">
        <v>41228</v>
      </c>
      <c r="B1680">
        <v>7096</v>
      </c>
      <c r="C1680">
        <v>7155</v>
      </c>
      <c r="D1680">
        <v>7035</v>
      </c>
      <c r="E1680">
        <v>7122</v>
      </c>
      <c r="F1680">
        <v>7174.2</v>
      </c>
    </row>
    <row r="1681" spans="1:6" x14ac:dyDescent="0.25">
      <c r="A1681" s="1">
        <v>41229</v>
      </c>
      <c r="B1681">
        <v>7121</v>
      </c>
      <c r="C1681">
        <v>7179</v>
      </c>
      <c r="D1681">
        <v>7082</v>
      </c>
      <c r="E1681">
        <v>7109</v>
      </c>
      <c r="F1681">
        <v>7139</v>
      </c>
    </row>
    <row r="1682" spans="1:6" x14ac:dyDescent="0.25">
      <c r="A1682" s="1">
        <v>41232</v>
      </c>
      <c r="B1682">
        <v>7137</v>
      </c>
      <c r="C1682">
        <v>7168</v>
      </c>
      <c r="D1682">
        <v>7120</v>
      </c>
      <c r="E1682">
        <v>7125</v>
      </c>
      <c r="F1682">
        <v>7115.2</v>
      </c>
    </row>
    <row r="1683" spans="1:6" x14ac:dyDescent="0.25">
      <c r="A1683" s="1">
        <v>41233</v>
      </c>
      <c r="B1683">
        <v>7173</v>
      </c>
      <c r="C1683">
        <v>7179</v>
      </c>
      <c r="D1683">
        <v>7131</v>
      </c>
      <c r="E1683">
        <v>7158</v>
      </c>
      <c r="F1683">
        <v>7128.2</v>
      </c>
    </row>
    <row r="1684" spans="1:6" x14ac:dyDescent="0.25">
      <c r="A1684" s="1">
        <v>41234</v>
      </c>
      <c r="B1684">
        <v>7174</v>
      </c>
      <c r="C1684">
        <v>7176</v>
      </c>
      <c r="D1684">
        <v>7051</v>
      </c>
      <c r="E1684">
        <v>7082</v>
      </c>
      <c r="F1684">
        <v>7119.2</v>
      </c>
    </row>
    <row r="1685" spans="1:6" x14ac:dyDescent="0.25">
      <c r="A1685" s="1">
        <v>41235</v>
      </c>
      <c r="B1685">
        <v>7090</v>
      </c>
      <c r="C1685">
        <v>7115</v>
      </c>
      <c r="D1685">
        <v>7080</v>
      </c>
      <c r="E1685">
        <v>7090</v>
      </c>
      <c r="F1685">
        <v>7112.8</v>
      </c>
    </row>
    <row r="1686" spans="1:6" x14ac:dyDescent="0.25">
      <c r="A1686" s="1">
        <v>41236</v>
      </c>
      <c r="B1686">
        <v>7119</v>
      </c>
      <c r="C1686">
        <v>7328</v>
      </c>
      <c r="D1686">
        <v>7118</v>
      </c>
      <c r="E1686">
        <v>7321</v>
      </c>
      <c r="F1686">
        <v>7155.2</v>
      </c>
    </row>
    <row r="1687" spans="1:6" x14ac:dyDescent="0.25">
      <c r="A1687" s="1">
        <v>41239</v>
      </c>
      <c r="B1687">
        <v>7370</v>
      </c>
      <c r="C1687">
        <v>7410</v>
      </c>
      <c r="D1687">
        <v>7357</v>
      </c>
      <c r="E1687">
        <v>7389</v>
      </c>
      <c r="F1687">
        <v>7208</v>
      </c>
    </row>
    <row r="1688" spans="1:6" x14ac:dyDescent="0.25">
      <c r="A1688" s="1">
        <v>41240</v>
      </c>
      <c r="B1688">
        <v>7407</v>
      </c>
      <c r="C1688">
        <v>7435</v>
      </c>
      <c r="D1688">
        <v>7380</v>
      </c>
      <c r="E1688">
        <v>7425</v>
      </c>
      <c r="F1688">
        <v>7261.4</v>
      </c>
    </row>
    <row r="1689" spans="1:6" x14ac:dyDescent="0.25">
      <c r="A1689" s="1">
        <v>41241</v>
      </c>
      <c r="B1689">
        <v>7419</v>
      </c>
      <c r="C1689">
        <v>7440</v>
      </c>
      <c r="D1689">
        <v>7390</v>
      </c>
      <c r="E1689">
        <v>7428</v>
      </c>
      <c r="F1689">
        <v>7330.6</v>
      </c>
    </row>
    <row r="1690" spans="1:6" x14ac:dyDescent="0.25">
      <c r="A1690" s="1">
        <v>41242</v>
      </c>
      <c r="B1690">
        <v>7473</v>
      </c>
      <c r="C1690">
        <v>7538</v>
      </c>
      <c r="D1690">
        <v>7465</v>
      </c>
      <c r="E1690">
        <v>7527</v>
      </c>
      <c r="F1690">
        <v>7418</v>
      </c>
    </row>
    <row r="1691" spans="1:6" x14ac:dyDescent="0.25">
      <c r="A1691" s="1">
        <v>41243</v>
      </c>
      <c r="B1691">
        <v>7532</v>
      </c>
      <c r="C1691">
        <v>7604</v>
      </c>
      <c r="D1691">
        <v>7523</v>
      </c>
      <c r="E1691">
        <v>7593</v>
      </c>
      <c r="F1691">
        <v>7472.4</v>
      </c>
    </row>
    <row r="1692" spans="1:6" x14ac:dyDescent="0.25">
      <c r="A1692" s="1">
        <v>41246</v>
      </c>
      <c r="B1692">
        <v>7605</v>
      </c>
      <c r="C1692">
        <v>7647</v>
      </c>
      <c r="D1692">
        <v>7561</v>
      </c>
      <c r="E1692">
        <v>7600</v>
      </c>
      <c r="F1692">
        <v>7514.6</v>
      </c>
    </row>
    <row r="1693" spans="1:6" x14ac:dyDescent="0.25">
      <c r="A1693" s="1">
        <v>41247</v>
      </c>
      <c r="B1693">
        <v>7570</v>
      </c>
      <c r="C1693">
        <v>7604</v>
      </c>
      <c r="D1693">
        <v>7548</v>
      </c>
      <c r="E1693">
        <v>7596</v>
      </c>
      <c r="F1693">
        <v>7548.8</v>
      </c>
    </row>
    <row r="1694" spans="1:6" x14ac:dyDescent="0.25">
      <c r="A1694" s="1">
        <v>41248</v>
      </c>
      <c r="B1694">
        <v>7583</v>
      </c>
      <c r="C1694">
        <v>7678</v>
      </c>
      <c r="D1694">
        <v>7575</v>
      </c>
      <c r="E1694">
        <v>7653</v>
      </c>
      <c r="F1694">
        <v>7593.8</v>
      </c>
    </row>
    <row r="1695" spans="1:6" x14ac:dyDescent="0.25">
      <c r="A1695" s="1">
        <v>41249</v>
      </c>
      <c r="B1695">
        <v>7665</v>
      </c>
      <c r="C1695">
        <v>7672</v>
      </c>
      <c r="D1695">
        <v>7622</v>
      </c>
      <c r="E1695">
        <v>7636</v>
      </c>
      <c r="F1695">
        <v>7615.6</v>
      </c>
    </row>
    <row r="1696" spans="1:6" x14ac:dyDescent="0.25">
      <c r="A1696" s="1">
        <v>41250</v>
      </c>
      <c r="B1696">
        <v>7657</v>
      </c>
      <c r="C1696">
        <v>7692</v>
      </c>
      <c r="D1696">
        <v>7642</v>
      </c>
      <c r="E1696">
        <v>7660</v>
      </c>
      <c r="F1696">
        <v>7629</v>
      </c>
    </row>
    <row r="1697" spans="1:6" x14ac:dyDescent="0.25">
      <c r="A1697" s="1">
        <v>41253</v>
      </c>
      <c r="B1697">
        <v>7681</v>
      </c>
      <c r="C1697">
        <v>7684</v>
      </c>
      <c r="D1697">
        <v>7601</v>
      </c>
      <c r="E1697">
        <v>7622</v>
      </c>
      <c r="F1697">
        <v>7633.4</v>
      </c>
    </row>
    <row r="1698" spans="1:6" x14ac:dyDescent="0.25">
      <c r="A1698" s="1">
        <v>41254</v>
      </c>
      <c r="B1698">
        <v>7636</v>
      </c>
      <c r="C1698">
        <v>7645</v>
      </c>
      <c r="D1698">
        <v>7580</v>
      </c>
      <c r="E1698">
        <v>7638</v>
      </c>
      <c r="F1698">
        <v>7641.8</v>
      </c>
    </row>
    <row r="1699" spans="1:6" x14ac:dyDescent="0.25">
      <c r="A1699" s="1">
        <v>41255</v>
      </c>
      <c r="B1699">
        <v>7666</v>
      </c>
      <c r="C1699">
        <v>7724</v>
      </c>
      <c r="D1699">
        <v>7652</v>
      </c>
      <c r="E1699">
        <v>7695</v>
      </c>
      <c r="F1699">
        <v>7650.2</v>
      </c>
    </row>
    <row r="1700" spans="1:6" x14ac:dyDescent="0.25">
      <c r="A1700" s="1">
        <v>41256</v>
      </c>
      <c r="B1700">
        <v>7718</v>
      </c>
      <c r="C1700">
        <v>7777</v>
      </c>
      <c r="D1700">
        <v>7709</v>
      </c>
      <c r="E1700">
        <v>7772</v>
      </c>
      <c r="F1700">
        <v>7677.4</v>
      </c>
    </row>
    <row r="1701" spans="1:6" x14ac:dyDescent="0.25">
      <c r="A1701" s="1">
        <v>41257</v>
      </c>
      <c r="B1701">
        <v>7743</v>
      </c>
      <c r="C1701">
        <v>7747</v>
      </c>
      <c r="D1701">
        <v>7701</v>
      </c>
      <c r="E1701">
        <v>7705</v>
      </c>
      <c r="F1701">
        <v>7686.4</v>
      </c>
    </row>
    <row r="1702" spans="1:6" x14ac:dyDescent="0.25">
      <c r="A1702" s="1">
        <v>41260</v>
      </c>
      <c r="B1702">
        <v>7690</v>
      </c>
      <c r="C1702">
        <v>7707</v>
      </c>
      <c r="D1702">
        <v>7616</v>
      </c>
      <c r="E1702">
        <v>7649</v>
      </c>
      <c r="F1702">
        <v>7691.8</v>
      </c>
    </row>
    <row r="1703" spans="1:6" x14ac:dyDescent="0.25">
      <c r="A1703" s="1">
        <v>41261</v>
      </c>
      <c r="B1703">
        <v>7659</v>
      </c>
      <c r="C1703">
        <v>7666</v>
      </c>
      <c r="D1703">
        <v>7621</v>
      </c>
      <c r="E1703">
        <v>7654</v>
      </c>
      <c r="F1703">
        <v>7695</v>
      </c>
    </row>
    <row r="1704" spans="1:6" x14ac:dyDescent="0.25">
      <c r="A1704" s="1">
        <v>41262</v>
      </c>
      <c r="B1704">
        <v>7696</v>
      </c>
      <c r="C1704">
        <v>7709</v>
      </c>
      <c r="D1704">
        <v>7655</v>
      </c>
      <c r="E1704">
        <v>7660</v>
      </c>
      <c r="F1704">
        <v>7688</v>
      </c>
    </row>
    <row r="1705" spans="1:6" x14ac:dyDescent="0.25">
      <c r="A1705" s="1">
        <v>41263</v>
      </c>
      <c r="B1705">
        <v>7635</v>
      </c>
      <c r="C1705">
        <v>7637</v>
      </c>
      <c r="D1705">
        <v>7556</v>
      </c>
      <c r="E1705">
        <v>7560</v>
      </c>
      <c r="F1705">
        <v>7645.6</v>
      </c>
    </row>
    <row r="1706" spans="1:6" x14ac:dyDescent="0.25">
      <c r="A1706" s="1">
        <v>41264</v>
      </c>
      <c r="B1706">
        <v>7559</v>
      </c>
      <c r="C1706">
        <v>7578</v>
      </c>
      <c r="D1706">
        <v>7471</v>
      </c>
      <c r="E1706">
        <v>7494</v>
      </c>
      <c r="F1706">
        <v>7603.4</v>
      </c>
    </row>
    <row r="1707" spans="1:6" x14ac:dyDescent="0.25">
      <c r="A1707" s="1">
        <v>41265</v>
      </c>
      <c r="B1707">
        <v>7526</v>
      </c>
      <c r="C1707">
        <v>7557</v>
      </c>
      <c r="D1707">
        <v>7520</v>
      </c>
      <c r="E1707">
        <v>7529</v>
      </c>
      <c r="F1707">
        <v>7579.4</v>
      </c>
    </row>
    <row r="1708" spans="1:6" x14ac:dyDescent="0.25">
      <c r="A1708" s="1">
        <v>41267</v>
      </c>
      <c r="B1708">
        <v>7517</v>
      </c>
      <c r="C1708">
        <v>7565</v>
      </c>
      <c r="D1708">
        <v>7490</v>
      </c>
      <c r="E1708">
        <v>7521</v>
      </c>
      <c r="F1708">
        <v>7552.8</v>
      </c>
    </row>
    <row r="1709" spans="1:6" x14ac:dyDescent="0.25">
      <c r="A1709" s="1">
        <v>41268</v>
      </c>
      <c r="B1709">
        <v>7550</v>
      </c>
      <c r="C1709">
        <v>7688</v>
      </c>
      <c r="D1709">
        <v>7538</v>
      </c>
      <c r="E1709">
        <v>7673</v>
      </c>
      <c r="F1709">
        <v>7555.4</v>
      </c>
    </row>
    <row r="1710" spans="1:6" x14ac:dyDescent="0.25">
      <c r="A1710" s="1">
        <v>41269</v>
      </c>
      <c r="B1710">
        <v>7650</v>
      </c>
      <c r="C1710">
        <v>7685</v>
      </c>
      <c r="D1710">
        <v>7623</v>
      </c>
      <c r="E1710">
        <v>7635</v>
      </c>
      <c r="F1710">
        <v>7570.4</v>
      </c>
    </row>
    <row r="1711" spans="1:6" x14ac:dyDescent="0.25">
      <c r="A1711" s="1">
        <v>41270</v>
      </c>
      <c r="B1711">
        <v>7603</v>
      </c>
      <c r="C1711">
        <v>7667</v>
      </c>
      <c r="D1711">
        <v>7583</v>
      </c>
      <c r="E1711">
        <v>7628</v>
      </c>
      <c r="F1711">
        <v>7597.2</v>
      </c>
    </row>
    <row r="1712" spans="1:6" x14ac:dyDescent="0.25">
      <c r="A1712" s="1">
        <v>41271</v>
      </c>
      <c r="B1712">
        <v>7651</v>
      </c>
      <c r="C1712">
        <v>7709</v>
      </c>
      <c r="D1712">
        <v>7645</v>
      </c>
      <c r="E1712">
        <v>7679</v>
      </c>
      <c r="F1712">
        <v>7627.2</v>
      </c>
    </row>
    <row r="1713" spans="1:6" x14ac:dyDescent="0.25">
      <c r="A1713" s="1">
        <v>41276</v>
      </c>
      <c r="B1713">
        <v>7725</v>
      </c>
      <c r="C1713">
        <v>7804</v>
      </c>
      <c r="D1713">
        <v>7701</v>
      </c>
      <c r="E1713">
        <v>7775</v>
      </c>
      <c r="F1713">
        <v>7678</v>
      </c>
    </row>
    <row r="1714" spans="1:6" x14ac:dyDescent="0.25">
      <c r="A1714" s="1">
        <v>41277</v>
      </c>
      <c r="B1714">
        <v>7813</v>
      </c>
      <c r="C1714">
        <v>7835</v>
      </c>
      <c r="D1714">
        <v>7803</v>
      </c>
      <c r="E1714">
        <v>7825</v>
      </c>
      <c r="F1714">
        <v>7708.4</v>
      </c>
    </row>
    <row r="1715" spans="1:6" x14ac:dyDescent="0.25">
      <c r="A1715" s="1">
        <v>41278</v>
      </c>
      <c r="B1715">
        <v>7803</v>
      </c>
      <c r="C1715">
        <v>7809</v>
      </c>
      <c r="D1715">
        <v>7751</v>
      </c>
      <c r="E1715">
        <v>7775</v>
      </c>
      <c r="F1715">
        <v>7736.4</v>
      </c>
    </row>
    <row r="1716" spans="1:6" x14ac:dyDescent="0.25">
      <c r="A1716" s="1">
        <v>41281</v>
      </c>
      <c r="B1716">
        <v>7748</v>
      </c>
      <c r="C1716">
        <v>7775</v>
      </c>
      <c r="D1716">
        <v>7701</v>
      </c>
      <c r="E1716">
        <v>7742</v>
      </c>
      <c r="F1716">
        <v>7759.2</v>
      </c>
    </row>
    <row r="1717" spans="1:6" x14ac:dyDescent="0.25">
      <c r="A1717" s="1">
        <v>41282</v>
      </c>
      <c r="B1717">
        <v>7725</v>
      </c>
      <c r="C1717">
        <v>7747</v>
      </c>
      <c r="D1717">
        <v>7672</v>
      </c>
      <c r="E1717">
        <v>7710</v>
      </c>
      <c r="F1717">
        <v>7765.4</v>
      </c>
    </row>
    <row r="1718" spans="1:6" x14ac:dyDescent="0.25">
      <c r="A1718" s="1">
        <v>41283</v>
      </c>
      <c r="B1718">
        <v>7682</v>
      </c>
      <c r="C1718">
        <v>7773</v>
      </c>
      <c r="D1718">
        <v>7682</v>
      </c>
      <c r="E1718">
        <v>7741</v>
      </c>
      <c r="F1718">
        <v>7758.6</v>
      </c>
    </row>
    <row r="1719" spans="1:6" x14ac:dyDescent="0.25">
      <c r="A1719" s="1">
        <v>41284</v>
      </c>
      <c r="B1719">
        <v>7765</v>
      </c>
      <c r="C1719">
        <v>7847</v>
      </c>
      <c r="D1719">
        <v>7761</v>
      </c>
      <c r="E1719">
        <v>7836</v>
      </c>
      <c r="F1719">
        <v>7760.8</v>
      </c>
    </row>
    <row r="1720" spans="1:6" x14ac:dyDescent="0.25">
      <c r="A1720" s="1">
        <v>41285</v>
      </c>
      <c r="B1720">
        <v>7860</v>
      </c>
      <c r="C1720">
        <v>7867</v>
      </c>
      <c r="D1720">
        <v>7796</v>
      </c>
      <c r="E1720">
        <v>7800</v>
      </c>
      <c r="F1720">
        <v>7765.8</v>
      </c>
    </row>
    <row r="1721" spans="1:6" x14ac:dyDescent="0.25">
      <c r="A1721" s="1">
        <v>41288</v>
      </c>
      <c r="B1721">
        <v>7762</v>
      </c>
      <c r="C1721">
        <v>7828</v>
      </c>
      <c r="D1721">
        <v>7705</v>
      </c>
      <c r="E1721">
        <v>7824</v>
      </c>
      <c r="F1721">
        <v>7782.2</v>
      </c>
    </row>
    <row r="1722" spans="1:6" x14ac:dyDescent="0.25">
      <c r="A1722" s="1">
        <v>41289</v>
      </c>
      <c r="B1722">
        <v>7810</v>
      </c>
      <c r="C1722">
        <v>7813</v>
      </c>
      <c r="D1722">
        <v>7728</v>
      </c>
      <c r="E1722">
        <v>7741</v>
      </c>
      <c r="F1722">
        <v>7788.4</v>
      </c>
    </row>
    <row r="1723" spans="1:6" x14ac:dyDescent="0.25">
      <c r="A1723" s="1">
        <v>41290</v>
      </c>
      <c r="B1723">
        <v>7732</v>
      </c>
      <c r="C1723">
        <v>7768</v>
      </c>
      <c r="D1723">
        <v>7698</v>
      </c>
      <c r="E1723">
        <v>7717</v>
      </c>
      <c r="F1723">
        <v>7783.6</v>
      </c>
    </row>
    <row r="1724" spans="1:6" x14ac:dyDescent="0.25">
      <c r="A1724" s="1">
        <v>41291</v>
      </c>
      <c r="B1724">
        <v>7705</v>
      </c>
      <c r="C1724">
        <v>7767</v>
      </c>
      <c r="D1724">
        <v>7582</v>
      </c>
      <c r="E1724">
        <v>7614</v>
      </c>
      <c r="F1724">
        <v>7739.2</v>
      </c>
    </row>
    <row r="1725" spans="1:6" x14ac:dyDescent="0.25">
      <c r="A1725" s="1">
        <v>41292</v>
      </c>
      <c r="B1725">
        <v>7672</v>
      </c>
      <c r="C1725">
        <v>7723</v>
      </c>
      <c r="D1725">
        <v>7666</v>
      </c>
      <c r="E1725">
        <v>7712</v>
      </c>
      <c r="F1725">
        <v>7721.6</v>
      </c>
    </row>
    <row r="1726" spans="1:6" x14ac:dyDescent="0.25">
      <c r="A1726" s="1">
        <v>41295</v>
      </c>
      <c r="B1726">
        <v>7680</v>
      </c>
      <c r="C1726">
        <v>7743</v>
      </c>
      <c r="D1726">
        <v>7645</v>
      </c>
      <c r="E1726">
        <v>7704</v>
      </c>
      <c r="F1726">
        <v>7697.6</v>
      </c>
    </row>
    <row r="1727" spans="1:6" x14ac:dyDescent="0.25">
      <c r="A1727" s="1">
        <v>41296</v>
      </c>
      <c r="B1727">
        <v>7726</v>
      </c>
      <c r="C1727">
        <v>7765</v>
      </c>
      <c r="D1727">
        <v>7672</v>
      </c>
      <c r="E1727">
        <v>7751</v>
      </c>
      <c r="F1727">
        <v>7699.6</v>
      </c>
    </row>
    <row r="1728" spans="1:6" x14ac:dyDescent="0.25">
      <c r="A1728" s="1">
        <v>41297</v>
      </c>
      <c r="B1728">
        <v>7776</v>
      </c>
      <c r="C1728">
        <v>7788</v>
      </c>
      <c r="D1728">
        <v>7715</v>
      </c>
      <c r="E1728">
        <v>7721</v>
      </c>
      <c r="F1728">
        <v>7700.4</v>
      </c>
    </row>
    <row r="1729" spans="1:6" x14ac:dyDescent="0.25">
      <c r="A1729" s="1">
        <v>41298</v>
      </c>
      <c r="B1729">
        <v>7685</v>
      </c>
      <c r="C1729">
        <v>7728</v>
      </c>
      <c r="D1729">
        <v>7625</v>
      </c>
      <c r="E1729">
        <v>7679</v>
      </c>
      <c r="F1729">
        <v>7713.4</v>
      </c>
    </row>
    <row r="1730" spans="1:6" x14ac:dyDescent="0.25">
      <c r="A1730" s="1">
        <v>41299</v>
      </c>
      <c r="B1730">
        <v>7670</v>
      </c>
      <c r="C1730">
        <v>7688</v>
      </c>
      <c r="D1730">
        <v>7612</v>
      </c>
      <c r="E1730">
        <v>7648</v>
      </c>
      <c r="F1730">
        <v>7700.6</v>
      </c>
    </row>
    <row r="1731" spans="1:6" x14ac:dyDescent="0.25">
      <c r="A1731" s="1">
        <v>41302</v>
      </c>
      <c r="B1731">
        <v>7635</v>
      </c>
      <c r="C1731">
        <v>7735</v>
      </c>
      <c r="D1731">
        <v>7621</v>
      </c>
      <c r="E1731">
        <v>7728</v>
      </c>
      <c r="F1731">
        <v>7705.4</v>
      </c>
    </row>
    <row r="1732" spans="1:6" x14ac:dyDescent="0.25">
      <c r="A1732" s="1">
        <v>41303</v>
      </c>
      <c r="B1732">
        <v>7755</v>
      </c>
      <c r="C1732">
        <v>7822</v>
      </c>
      <c r="D1732">
        <v>7736</v>
      </c>
      <c r="E1732">
        <v>7815</v>
      </c>
      <c r="F1732">
        <v>7718.2</v>
      </c>
    </row>
    <row r="1733" spans="1:6" x14ac:dyDescent="0.25">
      <c r="A1733" s="1">
        <v>41304</v>
      </c>
      <c r="B1733">
        <v>7850</v>
      </c>
      <c r="C1733">
        <v>7859</v>
      </c>
      <c r="D1733">
        <v>7792</v>
      </c>
      <c r="E1733">
        <v>7795</v>
      </c>
      <c r="F1733">
        <v>7733</v>
      </c>
    </row>
    <row r="1734" spans="1:6" x14ac:dyDescent="0.25">
      <c r="A1734" s="1">
        <v>41305</v>
      </c>
      <c r="B1734">
        <v>7803</v>
      </c>
      <c r="C1734">
        <v>7850</v>
      </c>
      <c r="D1734">
        <v>7777</v>
      </c>
      <c r="E1734">
        <v>7848</v>
      </c>
      <c r="F1734">
        <v>7766.8</v>
      </c>
    </row>
    <row r="1735" spans="1:6" x14ac:dyDescent="0.25">
      <c r="A1735" s="1">
        <v>41306</v>
      </c>
      <c r="B1735">
        <v>7850</v>
      </c>
      <c r="C1735">
        <v>7900</v>
      </c>
      <c r="D1735">
        <v>7825</v>
      </c>
      <c r="E1735">
        <v>7860</v>
      </c>
      <c r="F1735">
        <v>7809.2</v>
      </c>
    </row>
    <row r="1736" spans="1:6" x14ac:dyDescent="0.25">
      <c r="A1736" s="1">
        <v>41309</v>
      </c>
      <c r="B1736">
        <v>7878</v>
      </c>
      <c r="C1736">
        <v>7952</v>
      </c>
      <c r="D1736">
        <v>7871</v>
      </c>
      <c r="E1736">
        <v>7940</v>
      </c>
      <c r="F1736">
        <v>7851.6</v>
      </c>
    </row>
    <row r="1737" spans="1:6" x14ac:dyDescent="0.25">
      <c r="A1737" s="1">
        <v>41310</v>
      </c>
      <c r="B1737">
        <v>7893</v>
      </c>
      <c r="C1737">
        <v>7912</v>
      </c>
      <c r="D1737">
        <v>7869</v>
      </c>
      <c r="E1737">
        <v>7902</v>
      </c>
      <c r="F1737">
        <v>7869</v>
      </c>
    </row>
    <row r="1738" spans="1:6" x14ac:dyDescent="0.25">
      <c r="A1738" s="1">
        <v>41311</v>
      </c>
      <c r="B1738">
        <v>7920</v>
      </c>
      <c r="C1738">
        <v>7952</v>
      </c>
      <c r="D1738">
        <v>7891</v>
      </c>
      <c r="E1738">
        <v>7900</v>
      </c>
      <c r="F1738">
        <v>7890</v>
      </c>
    </row>
    <row r="1739" spans="1:6" x14ac:dyDescent="0.25">
      <c r="A1739" s="1">
        <v>41323</v>
      </c>
      <c r="B1739">
        <v>7965</v>
      </c>
      <c r="C1739">
        <v>7978</v>
      </c>
      <c r="D1739">
        <v>7913</v>
      </c>
      <c r="E1739">
        <v>7937</v>
      </c>
      <c r="F1739">
        <v>7907.8</v>
      </c>
    </row>
    <row r="1740" spans="1:6" x14ac:dyDescent="0.25">
      <c r="A1740" s="1">
        <v>41324</v>
      </c>
      <c r="B1740">
        <v>7959</v>
      </c>
      <c r="C1740">
        <v>7970</v>
      </c>
      <c r="D1740">
        <v>7941</v>
      </c>
      <c r="E1740">
        <v>7958</v>
      </c>
      <c r="F1740">
        <v>7927.4</v>
      </c>
    </row>
    <row r="1741" spans="1:6" x14ac:dyDescent="0.25">
      <c r="A1741" s="1">
        <v>41325</v>
      </c>
      <c r="B1741">
        <v>7994</v>
      </c>
      <c r="C1741">
        <v>8027</v>
      </c>
      <c r="D1741">
        <v>7983</v>
      </c>
      <c r="E1741">
        <v>8022</v>
      </c>
      <c r="F1741">
        <v>7943.8</v>
      </c>
    </row>
    <row r="1742" spans="1:6" x14ac:dyDescent="0.25">
      <c r="A1742" s="1">
        <v>41326</v>
      </c>
      <c r="B1742">
        <v>7995</v>
      </c>
      <c r="C1742">
        <v>7997</v>
      </c>
      <c r="D1742">
        <v>7948</v>
      </c>
      <c r="E1742">
        <v>7949</v>
      </c>
      <c r="F1742">
        <v>7953.2</v>
      </c>
    </row>
    <row r="1743" spans="1:6" x14ac:dyDescent="0.25">
      <c r="A1743" s="1">
        <v>41327</v>
      </c>
      <c r="B1743">
        <v>7937</v>
      </c>
      <c r="C1743">
        <v>7975</v>
      </c>
      <c r="D1743">
        <v>7902</v>
      </c>
      <c r="E1743">
        <v>7953</v>
      </c>
      <c r="F1743">
        <v>7963.8</v>
      </c>
    </row>
    <row r="1744" spans="1:6" x14ac:dyDescent="0.25">
      <c r="A1744" s="1">
        <v>41328</v>
      </c>
      <c r="B1744">
        <v>7974</v>
      </c>
      <c r="C1744">
        <v>7995</v>
      </c>
      <c r="D1744">
        <v>7971</v>
      </c>
      <c r="E1744">
        <v>7992</v>
      </c>
      <c r="F1744">
        <v>7974.8</v>
      </c>
    </row>
    <row r="1745" spans="1:6" x14ac:dyDescent="0.25">
      <c r="A1745" s="1">
        <v>41330</v>
      </c>
      <c r="B1745">
        <v>7985</v>
      </c>
      <c r="C1745">
        <v>7990</v>
      </c>
      <c r="D1745">
        <v>7935</v>
      </c>
      <c r="E1745">
        <v>7943</v>
      </c>
      <c r="F1745">
        <v>7971.8</v>
      </c>
    </row>
    <row r="1746" spans="1:6" x14ac:dyDescent="0.25">
      <c r="A1746" s="1">
        <v>41331</v>
      </c>
      <c r="B1746">
        <v>7890</v>
      </c>
      <c r="C1746">
        <v>7920</v>
      </c>
      <c r="D1746">
        <v>7861</v>
      </c>
      <c r="E1746">
        <v>7885</v>
      </c>
      <c r="F1746">
        <v>7944.4</v>
      </c>
    </row>
    <row r="1747" spans="1:6" x14ac:dyDescent="0.25">
      <c r="A1747" s="1">
        <v>41332</v>
      </c>
      <c r="B1747">
        <v>7907</v>
      </c>
      <c r="C1747">
        <v>7908</v>
      </c>
      <c r="D1747">
        <v>7860</v>
      </c>
      <c r="E1747">
        <v>7879</v>
      </c>
      <c r="F1747">
        <v>7930.4</v>
      </c>
    </row>
    <row r="1748" spans="1:6" x14ac:dyDescent="0.25">
      <c r="A1748" s="1">
        <v>41334</v>
      </c>
      <c r="B1748">
        <v>7937</v>
      </c>
      <c r="C1748">
        <v>7950</v>
      </c>
      <c r="D1748">
        <v>7921</v>
      </c>
      <c r="E1748">
        <v>7935</v>
      </c>
      <c r="F1748">
        <v>7926.8</v>
      </c>
    </row>
    <row r="1749" spans="1:6" x14ac:dyDescent="0.25">
      <c r="A1749" s="1">
        <v>41337</v>
      </c>
      <c r="B1749">
        <v>7941</v>
      </c>
      <c r="C1749">
        <v>7941</v>
      </c>
      <c r="D1749">
        <v>7827</v>
      </c>
      <c r="E1749">
        <v>7843</v>
      </c>
      <c r="F1749">
        <v>7897</v>
      </c>
    </row>
    <row r="1750" spans="1:6" x14ac:dyDescent="0.25">
      <c r="A1750" s="1">
        <v>41338</v>
      </c>
      <c r="B1750">
        <v>7869</v>
      </c>
      <c r="C1750">
        <v>7930</v>
      </c>
      <c r="D1750">
        <v>7862</v>
      </c>
      <c r="E1750">
        <v>7913</v>
      </c>
      <c r="F1750">
        <v>7891</v>
      </c>
    </row>
    <row r="1751" spans="1:6" x14ac:dyDescent="0.25">
      <c r="A1751" s="1">
        <v>41339</v>
      </c>
      <c r="B1751">
        <v>7980</v>
      </c>
      <c r="C1751">
        <v>7998</v>
      </c>
      <c r="D1751">
        <v>7935</v>
      </c>
      <c r="E1751">
        <v>7945</v>
      </c>
      <c r="F1751">
        <v>7903</v>
      </c>
    </row>
    <row r="1752" spans="1:6" x14ac:dyDescent="0.25">
      <c r="A1752" s="1">
        <v>41340</v>
      </c>
      <c r="B1752">
        <v>7930</v>
      </c>
      <c r="C1752">
        <v>7982</v>
      </c>
      <c r="D1752">
        <v>7921</v>
      </c>
      <c r="E1752">
        <v>7938</v>
      </c>
      <c r="F1752">
        <v>7914.8</v>
      </c>
    </row>
    <row r="1753" spans="1:6" x14ac:dyDescent="0.25">
      <c r="A1753" s="1">
        <v>41341</v>
      </c>
      <c r="B1753">
        <v>7968</v>
      </c>
      <c r="C1753">
        <v>8032</v>
      </c>
      <c r="D1753">
        <v>7963</v>
      </c>
      <c r="E1753">
        <v>8010</v>
      </c>
      <c r="F1753">
        <v>7929.8</v>
      </c>
    </row>
    <row r="1754" spans="1:6" x14ac:dyDescent="0.25">
      <c r="A1754" s="1">
        <v>41344</v>
      </c>
      <c r="B1754">
        <v>8008</v>
      </c>
      <c r="C1754">
        <v>8068</v>
      </c>
      <c r="D1754">
        <v>7993</v>
      </c>
      <c r="E1754">
        <v>8042</v>
      </c>
      <c r="F1754">
        <v>7969.6</v>
      </c>
    </row>
    <row r="1755" spans="1:6" x14ac:dyDescent="0.25">
      <c r="A1755" s="1">
        <v>41345</v>
      </c>
      <c r="B1755">
        <v>8048</v>
      </c>
      <c r="C1755">
        <v>8058</v>
      </c>
      <c r="D1755">
        <v>7983</v>
      </c>
      <c r="E1755">
        <v>8000</v>
      </c>
      <c r="F1755">
        <v>7987</v>
      </c>
    </row>
    <row r="1756" spans="1:6" x14ac:dyDescent="0.25">
      <c r="A1756" s="1">
        <v>41346</v>
      </c>
      <c r="B1756">
        <v>7998</v>
      </c>
      <c r="C1756">
        <v>8035</v>
      </c>
      <c r="D1756">
        <v>7951</v>
      </c>
      <c r="E1756">
        <v>7991</v>
      </c>
      <c r="F1756">
        <v>7996.2</v>
      </c>
    </row>
    <row r="1757" spans="1:6" x14ac:dyDescent="0.25">
      <c r="A1757" s="1">
        <v>41347</v>
      </c>
      <c r="B1757">
        <v>7988</v>
      </c>
      <c r="C1757">
        <v>7995</v>
      </c>
      <c r="D1757">
        <v>7941</v>
      </c>
      <c r="E1757">
        <v>7952</v>
      </c>
      <c r="F1757">
        <v>7999</v>
      </c>
    </row>
    <row r="1758" spans="1:6" x14ac:dyDescent="0.25">
      <c r="A1758" s="1">
        <v>41348</v>
      </c>
      <c r="B1758">
        <v>7974</v>
      </c>
      <c r="C1758">
        <v>7986</v>
      </c>
      <c r="D1758">
        <v>7906</v>
      </c>
      <c r="E1758">
        <v>7908</v>
      </c>
      <c r="F1758">
        <v>7978.6</v>
      </c>
    </row>
    <row r="1759" spans="1:6" x14ac:dyDescent="0.25">
      <c r="A1759" s="1">
        <v>41351</v>
      </c>
      <c r="B1759">
        <v>7865</v>
      </c>
      <c r="C1759">
        <v>7870</v>
      </c>
      <c r="D1759">
        <v>7789</v>
      </c>
      <c r="E1759">
        <v>7789</v>
      </c>
      <c r="F1759">
        <v>7928</v>
      </c>
    </row>
    <row r="1760" spans="1:6" x14ac:dyDescent="0.25">
      <c r="A1760" s="1">
        <v>41352</v>
      </c>
      <c r="B1760">
        <v>7830</v>
      </c>
      <c r="C1760">
        <v>7852</v>
      </c>
      <c r="D1760">
        <v>7816</v>
      </c>
      <c r="E1760">
        <v>7831</v>
      </c>
      <c r="F1760">
        <v>7894.2</v>
      </c>
    </row>
    <row r="1761" spans="1:6" x14ac:dyDescent="0.25">
      <c r="A1761" s="1">
        <v>41353</v>
      </c>
      <c r="B1761">
        <v>7784</v>
      </c>
      <c r="C1761">
        <v>7842</v>
      </c>
      <c r="D1761">
        <v>7773</v>
      </c>
      <c r="E1761">
        <v>7795</v>
      </c>
      <c r="F1761">
        <v>7855</v>
      </c>
    </row>
    <row r="1762" spans="1:6" x14ac:dyDescent="0.25">
      <c r="A1762" s="1">
        <v>41354</v>
      </c>
      <c r="B1762">
        <v>7800</v>
      </c>
      <c r="C1762">
        <v>7817</v>
      </c>
      <c r="D1762">
        <v>7782</v>
      </c>
      <c r="E1762">
        <v>7798</v>
      </c>
      <c r="F1762">
        <v>7824.2</v>
      </c>
    </row>
    <row r="1763" spans="1:6" x14ac:dyDescent="0.25">
      <c r="A1763" s="1">
        <v>41355</v>
      </c>
      <c r="B1763">
        <v>7775</v>
      </c>
      <c r="C1763">
        <v>7814</v>
      </c>
      <c r="D1763">
        <v>7765</v>
      </c>
      <c r="E1763">
        <v>7775</v>
      </c>
      <c r="F1763">
        <v>7797.6</v>
      </c>
    </row>
    <row r="1764" spans="1:6" x14ac:dyDescent="0.25">
      <c r="A1764" s="1">
        <v>41358</v>
      </c>
      <c r="B1764">
        <v>7838</v>
      </c>
      <c r="C1764">
        <v>7865</v>
      </c>
      <c r="D1764">
        <v>7826</v>
      </c>
      <c r="E1764">
        <v>7851</v>
      </c>
      <c r="F1764">
        <v>7810</v>
      </c>
    </row>
    <row r="1765" spans="1:6" x14ac:dyDescent="0.25">
      <c r="A1765" s="1">
        <v>41359</v>
      </c>
      <c r="B1765">
        <v>7845</v>
      </c>
      <c r="C1765">
        <v>7848</v>
      </c>
      <c r="D1765">
        <v>7822</v>
      </c>
      <c r="E1765">
        <v>7835</v>
      </c>
      <c r="F1765">
        <v>7810.8</v>
      </c>
    </row>
    <row r="1766" spans="1:6" x14ac:dyDescent="0.25">
      <c r="A1766" s="1">
        <v>41360</v>
      </c>
      <c r="B1766">
        <v>7841</v>
      </c>
      <c r="C1766">
        <v>7875</v>
      </c>
      <c r="D1766">
        <v>7827</v>
      </c>
      <c r="E1766">
        <v>7861</v>
      </c>
      <c r="F1766">
        <v>7824</v>
      </c>
    </row>
    <row r="1767" spans="1:6" x14ac:dyDescent="0.25">
      <c r="A1767" s="1">
        <v>41361</v>
      </c>
      <c r="B1767">
        <v>7860</v>
      </c>
      <c r="C1767">
        <v>7875</v>
      </c>
      <c r="D1767">
        <v>7820</v>
      </c>
      <c r="E1767">
        <v>7842</v>
      </c>
      <c r="F1767">
        <v>7832.8</v>
      </c>
    </row>
    <row r="1768" spans="1:6" x14ac:dyDescent="0.25">
      <c r="A1768" s="1">
        <v>41362</v>
      </c>
      <c r="B1768">
        <v>7873</v>
      </c>
      <c r="C1768">
        <v>7935</v>
      </c>
      <c r="D1768">
        <v>7872</v>
      </c>
      <c r="E1768">
        <v>7926</v>
      </c>
      <c r="F1768">
        <v>7863</v>
      </c>
    </row>
    <row r="1769" spans="1:6" x14ac:dyDescent="0.25">
      <c r="A1769" s="1">
        <v>41365</v>
      </c>
      <c r="B1769">
        <v>7933</v>
      </c>
      <c r="C1769">
        <v>7943</v>
      </c>
      <c r="D1769">
        <v>7908</v>
      </c>
      <c r="E1769">
        <v>7920</v>
      </c>
      <c r="F1769">
        <v>7876.8</v>
      </c>
    </row>
    <row r="1770" spans="1:6" x14ac:dyDescent="0.25">
      <c r="A1770" s="1">
        <v>41366</v>
      </c>
      <c r="B1770">
        <v>7903</v>
      </c>
      <c r="C1770">
        <v>7927</v>
      </c>
      <c r="D1770">
        <v>7875</v>
      </c>
      <c r="E1770">
        <v>7903</v>
      </c>
      <c r="F1770">
        <v>7890.4</v>
      </c>
    </row>
    <row r="1771" spans="1:6" x14ac:dyDescent="0.25">
      <c r="A1771" s="1">
        <v>41367</v>
      </c>
      <c r="B1771">
        <v>7940</v>
      </c>
      <c r="C1771">
        <v>7953</v>
      </c>
      <c r="D1771">
        <v>7910</v>
      </c>
      <c r="E1771">
        <v>7938</v>
      </c>
      <c r="F1771">
        <v>7905.8</v>
      </c>
    </row>
    <row r="1772" spans="1:6" x14ac:dyDescent="0.25">
      <c r="A1772" s="1">
        <v>41372</v>
      </c>
      <c r="B1772">
        <v>7876</v>
      </c>
      <c r="C1772">
        <v>7876</v>
      </c>
      <c r="D1772">
        <v>7733</v>
      </c>
      <c r="E1772">
        <v>7737</v>
      </c>
      <c r="F1772">
        <v>7884.8</v>
      </c>
    </row>
    <row r="1773" spans="1:6" x14ac:dyDescent="0.25">
      <c r="A1773" s="1">
        <v>41373</v>
      </c>
      <c r="B1773">
        <v>7730</v>
      </c>
      <c r="C1773">
        <v>7750</v>
      </c>
      <c r="D1773">
        <v>7697</v>
      </c>
      <c r="E1773">
        <v>7708</v>
      </c>
      <c r="F1773">
        <v>7841.2</v>
      </c>
    </row>
    <row r="1774" spans="1:6" x14ac:dyDescent="0.25">
      <c r="A1774" s="1">
        <v>41374</v>
      </c>
      <c r="B1774">
        <v>7738</v>
      </c>
      <c r="C1774">
        <v>7744</v>
      </c>
      <c r="D1774">
        <v>7712</v>
      </c>
      <c r="E1774">
        <v>7725</v>
      </c>
      <c r="F1774">
        <v>7802.2</v>
      </c>
    </row>
    <row r="1775" spans="1:6" x14ac:dyDescent="0.25">
      <c r="A1775" s="1">
        <v>41375</v>
      </c>
      <c r="B1775">
        <v>7776</v>
      </c>
      <c r="C1775">
        <v>7825</v>
      </c>
      <c r="D1775">
        <v>7759</v>
      </c>
      <c r="E1775">
        <v>7816</v>
      </c>
      <c r="F1775">
        <v>7784.8</v>
      </c>
    </row>
    <row r="1776" spans="1:6" x14ac:dyDescent="0.25">
      <c r="A1776" s="1">
        <v>41376</v>
      </c>
      <c r="B1776">
        <v>7833</v>
      </c>
      <c r="C1776">
        <v>7833</v>
      </c>
      <c r="D1776">
        <v>7783</v>
      </c>
      <c r="E1776">
        <v>7785</v>
      </c>
      <c r="F1776">
        <v>7754.2</v>
      </c>
    </row>
    <row r="1777" spans="1:6" x14ac:dyDescent="0.25">
      <c r="A1777" s="1">
        <v>41379</v>
      </c>
      <c r="B1777">
        <v>7762</v>
      </c>
      <c r="C1777">
        <v>7816</v>
      </c>
      <c r="D1777">
        <v>7730</v>
      </c>
      <c r="E1777">
        <v>7764</v>
      </c>
      <c r="F1777">
        <v>7759.6</v>
      </c>
    </row>
    <row r="1778" spans="1:6" x14ac:dyDescent="0.25">
      <c r="A1778" s="1">
        <v>41380</v>
      </c>
      <c r="B1778">
        <v>7702</v>
      </c>
      <c r="C1778">
        <v>7786</v>
      </c>
      <c r="D1778">
        <v>7693</v>
      </c>
      <c r="E1778">
        <v>7780</v>
      </c>
      <c r="F1778">
        <v>7774</v>
      </c>
    </row>
    <row r="1779" spans="1:6" x14ac:dyDescent="0.25">
      <c r="A1779" s="1">
        <v>41381</v>
      </c>
      <c r="B1779">
        <v>7789</v>
      </c>
      <c r="C1779">
        <v>7809</v>
      </c>
      <c r="D1779">
        <v>7772</v>
      </c>
      <c r="E1779">
        <v>7808</v>
      </c>
      <c r="F1779">
        <v>7790.6</v>
      </c>
    </row>
    <row r="1780" spans="1:6" x14ac:dyDescent="0.25">
      <c r="A1780" s="1">
        <v>41382</v>
      </c>
      <c r="B1780">
        <v>7715</v>
      </c>
      <c r="C1780">
        <v>7774</v>
      </c>
      <c r="D1780">
        <v>7700</v>
      </c>
      <c r="E1780">
        <v>7750</v>
      </c>
      <c r="F1780">
        <v>7777.4</v>
      </c>
    </row>
    <row r="1781" spans="1:6" x14ac:dyDescent="0.25">
      <c r="A1781" s="1">
        <v>41383</v>
      </c>
      <c r="B1781">
        <v>7778</v>
      </c>
      <c r="C1781">
        <v>7945</v>
      </c>
      <c r="D1781">
        <v>7776</v>
      </c>
      <c r="E1781">
        <v>7945</v>
      </c>
      <c r="F1781">
        <v>7809.4</v>
      </c>
    </row>
    <row r="1782" spans="1:6" x14ac:dyDescent="0.25">
      <c r="A1782" s="1">
        <v>41386</v>
      </c>
      <c r="B1782">
        <v>7964</v>
      </c>
      <c r="C1782">
        <v>7976</v>
      </c>
      <c r="D1782">
        <v>7938</v>
      </c>
      <c r="E1782">
        <v>7956</v>
      </c>
      <c r="F1782">
        <v>7847.8</v>
      </c>
    </row>
    <row r="1783" spans="1:6" x14ac:dyDescent="0.25">
      <c r="A1783" s="1">
        <v>41387</v>
      </c>
      <c r="B1783">
        <v>7942</v>
      </c>
      <c r="C1783">
        <v>7950</v>
      </c>
      <c r="D1783">
        <v>7896</v>
      </c>
      <c r="E1783">
        <v>7928</v>
      </c>
      <c r="F1783">
        <v>7877.4</v>
      </c>
    </row>
    <row r="1784" spans="1:6" x14ac:dyDescent="0.25">
      <c r="A1784" s="1">
        <v>41388</v>
      </c>
      <c r="B1784">
        <v>7970</v>
      </c>
      <c r="C1784">
        <v>8015</v>
      </c>
      <c r="D1784">
        <v>7948</v>
      </c>
      <c r="E1784">
        <v>7992</v>
      </c>
      <c r="F1784">
        <v>7914.2</v>
      </c>
    </row>
    <row r="1785" spans="1:6" x14ac:dyDescent="0.25">
      <c r="A1785" s="1">
        <v>41389</v>
      </c>
      <c r="B1785">
        <v>7977</v>
      </c>
      <c r="C1785">
        <v>8009</v>
      </c>
      <c r="D1785">
        <v>7970</v>
      </c>
      <c r="E1785">
        <v>8005</v>
      </c>
      <c r="F1785">
        <v>7965.2</v>
      </c>
    </row>
    <row r="1786" spans="1:6" x14ac:dyDescent="0.25">
      <c r="A1786" s="1">
        <v>41390</v>
      </c>
      <c r="B1786">
        <v>8009</v>
      </c>
      <c r="C1786">
        <v>8066</v>
      </c>
      <c r="D1786">
        <v>7995</v>
      </c>
      <c r="E1786">
        <v>7996</v>
      </c>
      <c r="F1786">
        <v>7975.4</v>
      </c>
    </row>
    <row r="1787" spans="1:6" x14ac:dyDescent="0.25">
      <c r="A1787" s="1">
        <v>41393</v>
      </c>
      <c r="B1787">
        <v>8003</v>
      </c>
      <c r="C1787">
        <v>8042</v>
      </c>
      <c r="D1787">
        <v>8000</v>
      </c>
      <c r="E1787">
        <v>8022</v>
      </c>
      <c r="F1787">
        <v>7988.6</v>
      </c>
    </row>
    <row r="1788" spans="1:6" x14ac:dyDescent="0.25">
      <c r="A1788" s="1">
        <v>41394</v>
      </c>
      <c r="B1788">
        <v>8067</v>
      </c>
      <c r="C1788">
        <v>8123</v>
      </c>
      <c r="D1788">
        <v>8062</v>
      </c>
      <c r="E1788">
        <v>8098</v>
      </c>
      <c r="F1788">
        <v>8022.6</v>
      </c>
    </row>
    <row r="1789" spans="1:6" x14ac:dyDescent="0.25">
      <c r="A1789" s="1">
        <v>41396</v>
      </c>
      <c r="B1789">
        <v>8080</v>
      </c>
      <c r="C1789">
        <v>8127</v>
      </c>
      <c r="D1789">
        <v>8080</v>
      </c>
      <c r="E1789">
        <v>8121</v>
      </c>
      <c r="F1789">
        <v>8048.4</v>
      </c>
    </row>
    <row r="1790" spans="1:6" x14ac:dyDescent="0.25">
      <c r="A1790" s="1">
        <v>41397</v>
      </c>
      <c r="B1790">
        <v>8150</v>
      </c>
      <c r="C1790">
        <v>8175</v>
      </c>
      <c r="D1790">
        <v>8119</v>
      </c>
      <c r="E1790">
        <v>8142</v>
      </c>
      <c r="F1790">
        <v>8075.8</v>
      </c>
    </row>
    <row r="1791" spans="1:6" x14ac:dyDescent="0.25">
      <c r="A1791" s="1">
        <v>41400</v>
      </c>
      <c r="B1791">
        <v>8198</v>
      </c>
      <c r="C1791">
        <v>8209</v>
      </c>
      <c r="D1791">
        <v>8154</v>
      </c>
      <c r="E1791">
        <v>8168</v>
      </c>
      <c r="F1791">
        <v>8110.2</v>
      </c>
    </row>
    <row r="1792" spans="1:6" x14ac:dyDescent="0.25">
      <c r="A1792" s="1">
        <v>41401</v>
      </c>
      <c r="B1792">
        <v>8169</v>
      </c>
      <c r="C1792">
        <v>8187</v>
      </c>
      <c r="D1792">
        <v>8150</v>
      </c>
      <c r="E1792">
        <v>8176</v>
      </c>
      <c r="F1792">
        <v>8141</v>
      </c>
    </row>
    <row r="1793" spans="1:6" x14ac:dyDescent="0.25">
      <c r="A1793" s="1">
        <v>41402</v>
      </c>
      <c r="B1793">
        <v>8190</v>
      </c>
      <c r="C1793">
        <v>8302</v>
      </c>
      <c r="D1793">
        <v>8187</v>
      </c>
      <c r="E1793">
        <v>8268</v>
      </c>
      <c r="F1793">
        <v>8175</v>
      </c>
    </row>
    <row r="1794" spans="1:6" x14ac:dyDescent="0.25">
      <c r="A1794" s="1">
        <v>41403</v>
      </c>
      <c r="B1794">
        <v>8303</v>
      </c>
      <c r="C1794">
        <v>8330</v>
      </c>
      <c r="D1794">
        <v>8290</v>
      </c>
      <c r="E1794">
        <v>8312</v>
      </c>
      <c r="F1794">
        <v>8213.2000000000007</v>
      </c>
    </row>
    <row r="1795" spans="1:6" x14ac:dyDescent="0.25">
      <c r="A1795" s="1">
        <v>41404</v>
      </c>
      <c r="B1795">
        <v>8292</v>
      </c>
      <c r="C1795">
        <v>8312</v>
      </c>
      <c r="D1795">
        <v>8280</v>
      </c>
      <c r="E1795">
        <v>8310</v>
      </c>
      <c r="F1795">
        <v>8246.7999999999993</v>
      </c>
    </row>
    <row r="1796" spans="1:6" x14ac:dyDescent="0.25">
      <c r="A1796" s="1">
        <v>41407</v>
      </c>
      <c r="B1796">
        <v>8315</v>
      </c>
      <c r="C1796">
        <v>8316</v>
      </c>
      <c r="D1796">
        <v>8229</v>
      </c>
      <c r="E1796">
        <v>8260</v>
      </c>
      <c r="F1796">
        <v>8265.2000000000007</v>
      </c>
    </row>
    <row r="1797" spans="1:6" x14ac:dyDescent="0.25">
      <c r="A1797" s="1">
        <v>41408</v>
      </c>
      <c r="B1797">
        <v>8282</v>
      </c>
      <c r="C1797">
        <v>8307</v>
      </c>
      <c r="D1797">
        <v>8244</v>
      </c>
      <c r="E1797">
        <v>8273</v>
      </c>
      <c r="F1797">
        <v>8284.6</v>
      </c>
    </row>
    <row r="1798" spans="1:6" x14ac:dyDescent="0.25">
      <c r="A1798" s="1">
        <v>41409</v>
      </c>
      <c r="B1798">
        <v>8310</v>
      </c>
      <c r="C1798">
        <v>8311</v>
      </c>
      <c r="D1798">
        <v>8260</v>
      </c>
      <c r="E1798">
        <v>8303</v>
      </c>
      <c r="F1798">
        <v>8291.6</v>
      </c>
    </row>
    <row r="1799" spans="1:6" x14ac:dyDescent="0.25">
      <c r="A1799" s="1">
        <v>41410</v>
      </c>
      <c r="B1799">
        <v>8330</v>
      </c>
      <c r="C1799">
        <v>8440</v>
      </c>
      <c r="D1799">
        <v>8323</v>
      </c>
      <c r="E1799">
        <v>8425</v>
      </c>
      <c r="F1799">
        <v>8314.2000000000007</v>
      </c>
    </row>
    <row r="1800" spans="1:6" x14ac:dyDescent="0.25">
      <c r="A1800" s="1">
        <v>41411</v>
      </c>
      <c r="B1800">
        <v>8400</v>
      </c>
      <c r="C1800">
        <v>8422</v>
      </c>
      <c r="D1800">
        <v>8386</v>
      </c>
      <c r="E1800">
        <v>8401</v>
      </c>
      <c r="F1800">
        <v>8332.4</v>
      </c>
    </row>
    <row r="1801" spans="1:6" x14ac:dyDescent="0.25">
      <c r="A1801" s="1">
        <v>41414</v>
      </c>
      <c r="B1801">
        <v>8405</v>
      </c>
      <c r="C1801">
        <v>8405</v>
      </c>
      <c r="D1801">
        <v>8340</v>
      </c>
      <c r="E1801">
        <v>8387</v>
      </c>
      <c r="F1801">
        <v>8357.7999999999993</v>
      </c>
    </row>
    <row r="1802" spans="1:6" x14ac:dyDescent="0.25">
      <c r="A1802" s="1">
        <v>41415</v>
      </c>
      <c r="B1802">
        <v>8381</v>
      </c>
      <c r="C1802">
        <v>8442</v>
      </c>
      <c r="D1802">
        <v>8357</v>
      </c>
      <c r="E1802">
        <v>8390</v>
      </c>
      <c r="F1802">
        <v>8381.2000000000007</v>
      </c>
    </row>
    <row r="1803" spans="1:6" x14ac:dyDescent="0.25">
      <c r="A1803" s="1">
        <v>41416</v>
      </c>
      <c r="B1803">
        <v>8429</v>
      </c>
      <c r="C1803">
        <v>8449</v>
      </c>
      <c r="D1803">
        <v>8392</v>
      </c>
      <c r="E1803">
        <v>8394</v>
      </c>
      <c r="F1803">
        <v>8399.4</v>
      </c>
    </row>
    <row r="1804" spans="1:6" x14ac:dyDescent="0.25">
      <c r="A1804" s="1">
        <v>41417</v>
      </c>
      <c r="B1804">
        <v>8350</v>
      </c>
      <c r="C1804">
        <v>8355</v>
      </c>
      <c r="D1804">
        <v>8210</v>
      </c>
      <c r="E1804">
        <v>8210</v>
      </c>
      <c r="F1804">
        <v>8356.4</v>
      </c>
    </row>
    <row r="1805" spans="1:6" x14ac:dyDescent="0.25">
      <c r="A1805" s="1">
        <v>41418</v>
      </c>
      <c r="B1805">
        <v>8233</v>
      </c>
      <c r="C1805">
        <v>8248</v>
      </c>
      <c r="D1805">
        <v>8146</v>
      </c>
      <c r="E1805">
        <v>8222</v>
      </c>
      <c r="F1805">
        <v>8320.6</v>
      </c>
    </row>
    <row r="1806" spans="1:6" x14ac:dyDescent="0.25">
      <c r="A1806" s="1">
        <v>41421</v>
      </c>
      <c r="B1806">
        <v>8190</v>
      </c>
      <c r="C1806">
        <v>8268</v>
      </c>
      <c r="D1806">
        <v>8183</v>
      </c>
      <c r="E1806">
        <v>8256</v>
      </c>
      <c r="F1806">
        <v>8294.4</v>
      </c>
    </row>
    <row r="1807" spans="1:6" x14ac:dyDescent="0.25">
      <c r="A1807" s="1">
        <v>41422</v>
      </c>
      <c r="B1807">
        <v>8276</v>
      </c>
      <c r="C1807">
        <v>8283</v>
      </c>
      <c r="D1807">
        <v>8245</v>
      </c>
      <c r="E1807">
        <v>8256</v>
      </c>
      <c r="F1807">
        <v>8267.6</v>
      </c>
    </row>
    <row r="1808" spans="1:6" x14ac:dyDescent="0.25">
      <c r="A1808" s="1">
        <v>41423</v>
      </c>
      <c r="B1808">
        <v>8258</v>
      </c>
      <c r="C1808">
        <v>8345</v>
      </c>
      <c r="D1808">
        <v>8246</v>
      </c>
      <c r="E1808">
        <v>8314</v>
      </c>
      <c r="F1808">
        <v>8251.6</v>
      </c>
    </row>
    <row r="1809" spans="1:6" x14ac:dyDescent="0.25">
      <c r="A1809" s="1">
        <v>41424</v>
      </c>
      <c r="B1809">
        <v>8291</v>
      </c>
      <c r="C1809">
        <v>8302</v>
      </c>
      <c r="D1809">
        <v>8203</v>
      </c>
      <c r="E1809">
        <v>8233</v>
      </c>
      <c r="F1809">
        <v>8256.2000000000007</v>
      </c>
    </row>
    <row r="1810" spans="1:6" x14ac:dyDescent="0.25">
      <c r="A1810" s="1">
        <v>41425</v>
      </c>
      <c r="B1810">
        <v>8264</v>
      </c>
      <c r="C1810">
        <v>8342</v>
      </c>
      <c r="D1810">
        <v>8225</v>
      </c>
      <c r="E1810">
        <v>8244</v>
      </c>
      <c r="F1810">
        <v>8260.6</v>
      </c>
    </row>
    <row r="1811" spans="1:6" x14ac:dyDescent="0.25">
      <c r="A1811" s="1">
        <v>41428</v>
      </c>
      <c r="B1811">
        <v>8146</v>
      </c>
      <c r="C1811">
        <v>8206</v>
      </c>
      <c r="D1811">
        <v>8086</v>
      </c>
      <c r="E1811">
        <v>8193</v>
      </c>
      <c r="F1811">
        <v>8248</v>
      </c>
    </row>
    <row r="1812" spans="1:6" x14ac:dyDescent="0.25">
      <c r="A1812" s="1">
        <v>41429</v>
      </c>
      <c r="B1812">
        <v>8230</v>
      </c>
      <c r="C1812">
        <v>8230</v>
      </c>
      <c r="D1812">
        <v>8150</v>
      </c>
      <c r="E1812">
        <v>8162</v>
      </c>
      <c r="F1812">
        <v>8229.2000000000007</v>
      </c>
    </row>
    <row r="1813" spans="1:6" x14ac:dyDescent="0.25">
      <c r="A1813" s="1">
        <v>41430</v>
      </c>
      <c r="B1813">
        <v>8130</v>
      </c>
      <c r="C1813">
        <v>8195</v>
      </c>
      <c r="D1813">
        <v>8061</v>
      </c>
      <c r="E1813">
        <v>8105</v>
      </c>
      <c r="F1813">
        <v>8187.4</v>
      </c>
    </row>
    <row r="1814" spans="1:6" x14ac:dyDescent="0.25">
      <c r="A1814" s="1">
        <v>41432</v>
      </c>
      <c r="B1814">
        <v>8089</v>
      </c>
      <c r="C1814">
        <v>8110</v>
      </c>
      <c r="D1814">
        <v>8050</v>
      </c>
      <c r="E1814">
        <v>8086</v>
      </c>
      <c r="F1814">
        <v>8158</v>
      </c>
    </row>
    <row r="1815" spans="1:6" x14ac:dyDescent="0.25">
      <c r="A1815" s="1">
        <v>41435</v>
      </c>
      <c r="B1815">
        <v>8140</v>
      </c>
      <c r="C1815">
        <v>8186</v>
      </c>
      <c r="D1815">
        <v>8128</v>
      </c>
      <c r="E1815">
        <v>8148</v>
      </c>
      <c r="F1815">
        <v>8138.8</v>
      </c>
    </row>
    <row r="1816" spans="1:6" x14ac:dyDescent="0.25">
      <c r="A1816" s="1">
        <v>41436</v>
      </c>
      <c r="B1816">
        <v>8135</v>
      </c>
      <c r="C1816">
        <v>8156</v>
      </c>
      <c r="D1816">
        <v>8108</v>
      </c>
      <c r="E1816">
        <v>8128</v>
      </c>
      <c r="F1816">
        <v>8125.8</v>
      </c>
    </row>
    <row r="1817" spans="1:6" x14ac:dyDescent="0.25">
      <c r="A1817" s="1">
        <v>41438</v>
      </c>
      <c r="B1817">
        <v>8050</v>
      </c>
      <c r="C1817">
        <v>8055</v>
      </c>
      <c r="D1817">
        <v>7930</v>
      </c>
      <c r="E1817">
        <v>7930</v>
      </c>
      <c r="F1817">
        <v>8079.4</v>
      </c>
    </row>
    <row r="1818" spans="1:6" x14ac:dyDescent="0.25">
      <c r="A1818" s="1">
        <v>41439</v>
      </c>
      <c r="B1818">
        <v>7978</v>
      </c>
      <c r="C1818">
        <v>7984</v>
      </c>
      <c r="D1818">
        <v>7905</v>
      </c>
      <c r="E1818">
        <v>7919</v>
      </c>
      <c r="F1818">
        <v>8042.2</v>
      </c>
    </row>
    <row r="1819" spans="1:6" x14ac:dyDescent="0.25">
      <c r="A1819" s="1">
        <v>41442</v>
      </c>
      <c r="B1819">
        <v>7921</v>
      </c>
      <c r="C1819">
        <v>7982</v>
      </c>
      <c r="D1819">
        <v>7918</v>
      </c>
      <c r="E1819">
        <v>7972</v>
      </c>
      <c r="F1819">
        <v>8019.4</v>
      </c>
    </row>
    <row r="1820" spans="1:6" x14ac:dyDescent="0.25">
      <c r="A1820" s="1">
        <v>41443</v>
      </c>
      <c r="B1820">
        <v>7972</v>
      </c>
      <c r="C1820">
        <v>8012</v>
      </c>
      <c r="D1820">
        <v>7936</v>
      </c>
      <c r="E1820">
        <v>7995</v>
      </c>
      <c r="F1820">
        <v>7988.8</v>
      </c>
    </row>
    <row r="1821" spans="1:6" x14ac:dyDescent="0.25">
      <c r="A1821" s="1">
        <v>41444</v>
      </c>
      <c r="B1821">
        <v>8013</v>
      </c>
      <c r="C1821">
        <v>8038</v>
      </c>
      <c r="D1821">
        <v>7988</v>
      </c>
      <c r="E1821">
        <v>8021</v>
      </c>
      <c r="F1821">
        <v>7967.4</v>
      </c>
    </row>
    <row r="1822" spans="1:6" x14ac:dyDescent="0.25">
      <c r="A1822" s="1">
        <v>41445</v>
      </c>
      <c r="B1822">
        <v>7793</v>
      </c>
      <c r="C1822">
        <v>7819</v>
      </c>
      <c r="D1822">
        <v>7738</v>
      </c>
      <c r="E1822">
        <v>7748</v>
      </c>
      <c r="F1822">
        <v>7931</v>
      </c>
    </row>
    <row r="1823" spans="1:6" x14ac:dyDescent="0.25">
      <c r="A1823" s="1">
        <v>41446</v>
      </c>
      <c r="B1823">
        <v>7610</v>
      </c>
      <c r="C1823">
        <v>7680</v>
      </c>
      <c r="D1823">
        <v>7588</v>
      </c>
      <c r="E1823">
        <v>7659</v>
      </c>
      <c r="F1823">
        <v>7879</v>
      </c>
    </row>
    <row r="1824" spans="1:6" x14ac:dyDescent="0.25">
      <c r="A1824" s="1">
        <v>41449</v>
      </c>
      <c r="B1824">
        <v>7625</v>
      </c>
      <c r="C1824">
        <v>7663</v>
      </c>
      <c r="D1824">
        <v>7602</v>
      </c>
      <c r="E1824">
        <v>7628</v>
      </c>
      <c r="F1824">
        <v>7810.2</v>
      </c>
    </row>
    <row r="1825" spans="1:6" x14ac:dyDescent="0.25">
      <c r="A1825" s="1">
        <v>41450</v>
      </c>
      <c r="B1825">
        <v>7611</v>
      </c>
      <c r="C1825">
        <v>7684</v>
      </c>
      <c r="D1825">
        <v>7580</v>
      </c>
      <c r="E1825">
        <v>7607</v>
      </c>
      <c r="F1825">
        <v>7732.6</v>
      </c>
    </row>
    <row r="1826" spans="1:6" x14ac:dyDescent="0.25">
      <c r="A1826" s="1">
        <v>41451</v>
      </c>
      <c r="B1826">
        <v>7668</v>
      </c>
      <c r="C1826">
        <v>7689</v>
      </c>
      <c r="D1826">
        <v>7609</v>
      </c>
      <c r="E1826">
        <v>7638</v>
      </c>
      <c r="F1826">
        <v>7656</v>
      </c>
    </row>
    <row r="1827" spans="1:6" x14ac:dyDescent="0.25">
      <c r="A1827" s="1">
        <v>41452</v>
      </c>
      <c r="B1827">
        <v>7719</v>
      </c>
      <c r="C1827">
        <v>7747</v>
      </c>
      <c r="D1827">
        <v>7701</v>
      </c>
      <c r="E1827">
        <v>7715</v>
      </c>
      <c r="F1827">
        <v>7649.4</v>
      </c>
    </row>
    <row r="1828" spans="1:6" x14ac:dyDescent="0.25">
      <c r="A1828" s="1">
        <v>41453</v>
      </c>
      <c r="B1828">
        <v>7760</v>
      </c>
      <c r="C1828">
        <v>7860</v>
      </c>
      <c r="D1828">
        <v>7729</v>
      </c>
      <c r="E1828">
        <v>7825</v>
      </c>
      <c r="F1828">
        <v>7682.6</v>
      </c>
    </row>
    <row r="1829" spans="1:6" x14ac:dyDescent="0.25">
      <c r="A1829" s="1">
        <v>41456</v>
      </c>
      <c r="B1829">
        <v>7818</v>
      </c>
      <c r="C1829">
        <v>7915</v>
      </c>
      <c r="D1829">
        <v>7811</v>
      </c>
      <c r="E1829">
        <v>7902</v>
      </c>
      <c r="F1829">
        <v>7737.4</v>
      </c>
    </row>
    <row r="1830" spans="1:6" x14ac:dyDescent="0.25">
      <c r="A1830" s="1">
        <v>41457</v>
      </c>
      <c r="B1830">
        <v>7902</v>
      </c>
      <c r="C1830">
        <v>7920</v>
      </c>
      <c r="D1830">
        <v>7880</v>
      </c>
      <c r="E1830">
        <v>7906</v>
      </c>
      <c r="F1830">
        <v>7797.2</v>
      </c>
    </row>
    <row r="1831" spans="1:6" x14ac:dyDescent="0.25">
      <c r="A1831" s="1">
        <v>41458</v>
      </c>
      <c r="B1831">
        <v>7880</v>
      </c>
      <c r="C1831">
        <v>7895</v>
      </c>
      <c r="D1831">
        <v>7806</v>
      </c>
      <c r="E1831">
        <v>7812</v>
      </c>
      <c r="F1831">
        <v>7832</v>
      </c>
    </row>
    <row r="1832" spans="1:6" x14ac:dyDescent="0.25">
      <c r="A1832" s="1">
        <v>41459</v>
      </c>
      <c r="B1832">
        <v>7838</v>
      </c>
      <c r="C1832">
        <v>7864</v>
      </c>
      <c r="D1832">
        <v>7801</v>
      </c>
      <c r="E1832">
        <v>7842</v>
      </c>
      <c r="F1832">
        <v>7857.4</v>
      </c>
    </row>
    <row r="1833" spans="1:6" x14ac:dyDescent="0.25">
      <c r="A1833" s="1">
        <v>41460</v>
      </c>
      <c r="B1833">
        <v>7888</v>
      </c>
      <c r="C1833">
        <v>7979</v>
      </c>
      <c r="D1833">
        <v>7871</v>
      </c>
      <c r="E1833">
        <v>7963</v>
      </c>
      <c r="F1833">
        <v>7885</v>
      </c>
    </row>
    <row r="1834" spans="1:6" x14ac:dyDescent="0.25">
      <c r="A1834" s="1">
        <v>41463</v>
      </c>
      <c r="B1834">
        <v>7961</v>
      </c>
      <c r="C1834">
        <v>7965</v>
      </c>
      <c r="D1834">
        <v>7820</v>
      </c>
      <c r="E1834">
        <v>7828</v>
      </c>
      <c r="F1834">
        <v>7870.2</v>
      </c>
    </row>
    <row r="1835" spans="1:6" x14ac:dyDescent="0.25">
      <c r="A1835" s="1">
        <v>41464</v>
      </c>
      <c r="B1835">
        <v>7832</v>
      </c>
      <c r="C1835">
        <v>7930</v>
      </c>
      <c r="D1835">
        <v>7824</v>
      </c>
      <c r="E1835">
        <v>7922</v>
      </c>
      <c r="F1835">
        <v>7873.4</v>
      </c>
    </row>
    <row r="1836" spans="1:6" x14ac:dyDescent="0.25">
      <c r="A1836" s="1">
        <v>41465</v>
      </c>
      <c r="B1836">
        <v>7943</v>
      </c>
      <c r="C1836">
        <v>8017</v>
      </c>
      <c r="D1836">
        <v>7921</v>
      </c>
      <c r="E1836">
        <v>7960</v>
      </c>
      <c r="F1836">
        <v>7903</v>
      </c>
    </row>
    <row r="1837" spans="1:6" x14ac:dyDescent="0.25">
      <c r="A1837" s="1">
        <v>41466</v>
      </c>
      <c r="B1837">
        <v>8055</v>
      </c>
      <c r="C1837">
        <v>8167</v>
      </c>
      <c r="D1837">
        <v>8054</v>
      </c>
      <c r="E1837">
        <v>8164</v>
      </c>
      <c r="F1837">
        <v>7967.4</v>
      </c>
    </row>
    <row r="1838" spans="1:6" x14ac:dyDescent="0.25">
      <c r="A1838" s="1">
        <v>41467</v>
      </c>
      <c r="B1838">
        <v>8168</v>
      </c>
      <c r="C1838">
        <v>8185</v>
      </c>
      <c r="D1838">
        <v>8138</v>
      </c>
      <c r="E1838">
        <v>8181</v>
      </c>
      <c r="F1838">
        <v>8011</v>
      </c>
    </row>
    <row r="1839" spans="1:6" x14ac:dyDescent="0.25">
      <c r="A1839" s="1">
        <v>41470</v>
      </c>
      <c r="B1839">
        <v>8145</v>
      </c>
      <c r="C1839">
        <v>8238</v>
      </c>
      <c r="D1839">
        <v>8133</v>
      </c>
      <c r="E1839">
        <v>8217</v>
      </c>
      <c r="F1839">
        <v>8088.8</v>
      </c>
    </row>
    <row r="1840" spans="1:6" x14ac:dyDescent="0.25">
      <c r="A1840" s="1">
        <v>41471</v>
      </c>
      <c r="B1840">
        <v>8216</v>
      </c>
      <c r="C1840">
        <v>8233</v>
      </c>
      <c r="D1840">
        <v>8193</v>
      </c>
      <c r="E1840">
        <v>8230</v>
      </c>
      <c r="F1840">
        <v>8150.4</v>
      </c>
    </row>
    <row r="1841" spans="1:6" x14ac:dyDescent="0.25">
      <c r="A1841" s="1">
        <v>41472</v>
      </c>
      <c r="B1841">
        <v>8205</v>
      </c>
      <c r="C1841">
        <v>8258</v>
      </c>
      <c r="D1841">
        <v>8202</v>
      </c>
      <c r="E1841">
        <v>8241</v>
      </c>
      <c r="F1841">
        <v>8206.6</v>
      </c>
    </row>
    <row r="1842" spans="1:6" x14ac:dyDescent="0.25">
      <c r="A1842" s="1">
        <v>41473</v>
      </c>
      <c r="B1842">
        <v>8154</v>
      </c>
      <c r="C1842">
        <v>8169</v>
      </c>
      <c r="D1842">
        <v>8088</v>
      </c>
      <c r="E1842">
        <v>8099</v>
      </c>
      <c r="F1842">
        <v>8193.6</v>
      </c>
    </row>
    <row r="1843" spans="1:6" x14ac:dyDescent="0.25">
      <c r="A1843" s="1">
        <v>41474</v>
      </c>
      <c r="B1843">
        <v>8077</v>
      </c>
      <c r="C1843">
        <v>8078</v>
      </c>
      <c r="D1843">
        <v>7953</v>
      </c>
      <c r="E1843">
        <v>7955</v>
      </c>
      <c r="F1843">
        <v>8148.4</v>
      </c>
    </row>
    <row r="1844" spans="1:6" x14ac:dyDescent="0.25">
      <c r="A1844" s="1">
        <v>41477</v>
      </c>
      <c r="B1844">
        <v>7967</v>
      </c>
      <c r="C1844">
        <v>8054</v>
      </c>
      <c r="D1844">
        <v>7967</v>
      </c>
      <c r="E1844">
        <v>8021</v>
      </c>
      <c r="F1844">
        <v>8109.2</v>
      </c>
    </row>
    <row r="1845" spans="1:6" x14ac:dyDescent="0.25">
      <c r="A1845" s="1">
        <v>41478</v>
      </c>
      <c r="B1845">
        <v>8066</v>
      </c>
      <c r="C1845">
        <v>8156</v>
      </c>
      <c r="D1845">
        <v>8062</v>
      </c>
      <c r="E1845">
        <v>8133</v>
      </c>
      <c r="F1845">
        <v>8089.8</v>
      </c>
    </row>
    <row r="1846" spans="1:6" x14ac:dyDescent="0.25">
      <c r="A1846" s="1">
        <v>41479</v>
      </c>
      <c r="B1846">
        <v>8139</v>
      </c>
      <c r="C1846">
        <v>8147</v>
      </c>
      <c r="D1846">
        <v>8100</v>
      </c>
      <c r="E1846">
        <v>8125</v>
      </c>
      <c r="F1846">
        <v>8066.6</v>
      </c>
    </row>
    <row r="1847" spans="1:6" x14ac:dyDescent="0.25">
      <c r="A1847" s="1">
        <v>41480</v>
      </c>
      <c r="B1847">
        <v>8100</v>
      </c>
      <c r="C1847">
        <v>8158</v>
      </c>
      <c r="D1847">
        <v>8057</v>
      </c>
      <c r="E1847">
        <v>8109</v>
      </c>
      <c r="F1847">
        <v>8068.6</v>
      </c>
    </row>
    <row r="1848" spans="1:6" x14ac:dyDescent="0.25">
      <c r="A1848" s="1">
        <v>41481</v>
      </c>
      <c r="B1848">
        <v>8107</v>
      </c>
      <c r="C1848">
        <v>8183</v>
      </c>
      <c r="D1848">
        <v>8088</v>
      </c>
      <c r="E1848">
        <v>8099</v>
      </c>
      <c r="F1848">
        <v>8097.4</v>
      </c>
    </row>
    <row r="1849" spans="1:6" x14ac:dyDescent="0.25">
      <c r="A1849" s="1">
        <v>41484</v>
      </c>
      <c r="B1849">
        <v>8074</v>
      </c>
      <c r="C1849">
        <v>8109</v>
      </c>
      <c r="D1849">
        <v>8018</v>
      </c>
      <c r="E1849">
        <v>8035</v>
      </c>
      <c r="F1849">
        <v>8100.2</v>
      </c>
    </row>
    <row r="1850" spans="1:6" x14ac:dyDescent="0.25">
      <c r="A1850" s="1">
        <v>41485</v>
      </c>
      <c r="B1850">
        <v>8058</v>
      </c>
      <c r="C1850">
        <v>8145</v>
      </c>
      <c r="D1850">
        <v>8053</v>
      </c>
      <c r="E1850">
        <v>8129</v>
      </c>
      <c r="F1850">
        <v>8099.4</v>
      </c>
    </row>
    <row r="1851" spans="1:6" x14ac:dyDescent="0.25">
      <c r="A1851" s="1">
        <v>41486</v>
      </c>
      <c r="B1851">
        <v>8128</v>
      </c>
      <c r="C1851">
        <v>8133</v>
      </c>
      <c r="D1851">
        <v>8046</v>
      </c>
      <c r="E1851">
        <v>8050</v>
      </c>
      <c r="F1851">
        <v>8084.4</v>
      </c>
    </row>
    <row r="1852" spans="1:6" x14ac:dyDescent="0.25">
      <c r="A1852" s="1">
        <v>41487</v>
      </c>
      <c r="B1852">
        <v>8044</v>
      </c>
      <c r="C1852">
        <v>8080</v>
      </c>
      <c r="D1852">
        <v>8000</v>
      </c>
      <c r="E1852">
        <v>8046</v>
      </c>
      <c r="F1852">
        <v>8071.8</v>
      </c>
    </row>
    <row r="1853" spans="1:6" x14ac:dyDescent="0.25">
      <c r="A1853" s="1">
        <v>41488</v>
      </c>
      <c r="B1853">
        <v>8098</v>
      </c>
      <c r="C1853">
        <v>8146</v>
      </c>
      <c r="D1853">
        <v>8047</v>
      </c>
      <c r="E1853">
        <v>8062</v>
      </c>
      <c r="F1853">
        <v>8064.4</v>
      </c>
    </row>
    <row r="1854" spans="1:6" x14ac:dyDescent="0.25">
      <c r="A1854" s="1">
        <v>41491</v>
      </c>
      <c r="B1854">
        <v>8066</v>
      </c>
      <c r="C1854">
        <v>8108</v>
      </c>
      <c r="D1854">
        <v>8022</v>
      </c>
      <c r="E1854">
        <v>8100</v>
      </c>
      <c r="F1854">
        <v>8077.4</v>
      </c>
    </row>
    <row r="1855" spans="1:6" x14ac:dyDescent="0.25">
      <c r="A1855" s="1">
        <v>41492</v>
      </c>
      <c r="B1855">
        <v>8069</v>
      </c>
      <c r="C1855">
        <v>8075</v>
      </c>
      <c r="D1855">
        <v>7972</v>
      </c>
      <c r="E1855">
        <v>7990</v>
      </c>
      <c r="F1855">
        <v>8049.6</v>
      </c>
    </row>
    <row r="1856" spans="1:6" x14ac:dyDescent="0.25">
      <c r="A1856" s="1">
        <v>41493</v>
      </c>
      <c r="B1856">
        <v>7932</v>
      </c>
      <c r="C1856">
        <v>7940</v>
      </c>
      <c r="D1856">
        <v>7845</v>
      </c>
      <c r="E1856">
        <v>7845</v>
      </c>
      <c r="F1856">
        <v>8008.6</v>
      </c>
    </row>
    <row r="1857" spans="1:6" x14ac:dyDescent="0.25">
      <c r="A1857" s="1">
        <v>41494</v>
      </c>
      <c r="B1857">
        <v>7865</v>
      </c>
      <c r="C1857">
        <v>7893</v>
      </c>
      <c r="D1857">
        <v>7844</v>
      </c>
      <c r="E1857">
        <v>7845</v>
      </c>
      <c r="F1857">
        <v>7968.4</v>
      </c>
    </row>
    <row r="1858" spans="1:6" x14ac:dyDescent="0.25">
      <c r="A1858" s="1">
        <v>41495</v>
      </c>
      <c r="B1858">
        <v>7850</v>
      </c>
      <c r="C1858">
        <v>7883</v>
      </c>
      <c r="D1858">
        <v>7801</v>
      </c>
      <c r="E1858">
        <v>7826</v>
      </c>
      <c r="F1858">
        <v>7921.2</v>
      </c>
    </row>
    <row r="1859" spans="1:6" x14ac:dyDescent="0.25">
      <c r="A1859" s="1">
        <v>41498</v>
      </c>
      <c r="B1859">
        <v>7850</v>
      </c>
      <c r="C1859">
        <v>7882</v>
      </c>
      <c r="D1859">
        <v>7820</v>
      </c>
      <c r="E1859">
        <v>7860</v>
      </c>
      <c r="F1859">
        <v>7873.2</v>
      </c>
    </row>
    <row r="1860" spans="1:6" x14ac:dyDescent="0.25">
      <c r="A1860" s="1">
        <v>41499</v>
      </c>
      <c r="B1860">
        <v>7894</v>
      </c>
      <c r="C1860">
        <v>7959</v>
      </c>
      <c r="D1860">
        <v>7890</v>
      </c>
      <c r="E1860">
        <v>7954</v>
      </c>
      <c r="F1860">
        <v>7866</v>
      </c>
    </row>
    <row r="1861" spans="1:6" x14ac:dyDescent="0.25">
      <c r="A1861" s="1">
        <v>41500</v>
      </c>
      <c r="B1861">
        <v>7960</v>
      </c>
      <c r="C1861">
        <v>7961</v>
      </c>
      <c r="D1861">
        <v>7888</v>
      </c>
      <c r="E1861">
        <v>7927</v>
      </c>
      <c r="F1861">
        <v>7882.4</v>
      </c>
    </row>
    <row r="1862" spans="1:6" x14ac:dyDescent="0.25">
      <c r="A1862" s="1">
        <v>41501</v>
      </c>
      <c r="B1862">
        <v>7852</v>
      </c>
      <c r="C1862">
        <v>7878</v>
      </c>
      <c r="D1862">
        <v>7805</v>
      </c>
      <c r="E1862">
        <v>7858</v>
      </c>
      <c r="F1862">
        <v>7885</v>
      </c>
    </row>
    <row r="1863" spans="1:6" x14ac:dyDescent="0.25">
      <c r="A1863" s="1">
        <v>41502</v>
      </c>
      <c r="B1863">
        <v>7803</v>
      </c>
      <c r="C1863">
        <v>7943</v>
      </c>
      <c r="D1863">
        <v>7800</v>
      </c>
      <c r="E1863">
        <v>7916</v>
      </c>
      <c r="F1863">
        <v>7903</v>
      </c>
    </row>
    <row r="1864" spans="1:6" x14ac:dyDescent="0.25">
      <c r="A1864" s="1">
        <v>41505</v>
      </c>
      <c r="B1864">
        <v>7888</v>
      </c>
      <c r="C1864">
        <v>7903</v>
      </c>
      <c r="D1864">
        <v>7854</v>
      </c>
      <c r="E1864">
        <v>7888</v>
      </c>
      <c r="F1864">
        <v>7908.6</v>
      </c>
    </row>
    <row r="1865" spans="1:6" x14ac:dyDescent="0.25">
      <c r="A1865" s="1">
        <v>41506</v>
      </c>
      <c r="B1865">
        <v>7852</v>
      </c>
      <c r="C1865">
        <v>7920</v>
      </c>
      <c r="D1865">
        <v>7801</v>
      </c>
      <c r="E1865">
        <v>7805</v>
      </c>
      <c r="F1865">
        <v>7878.8</v>
      </c>
    </row>
    <row r="1866" spans="1:6" x14ac:dyDescent="0.25">
      <c r="A1866" s="1">
        <v>41508</v>
      </c>
      <c r="B1866">
        <v>7691</v>
      </c>
      <c r="C1866">
        <v>7823</v>
      </c>
      <c r="D1866">
        <v>7690</v>
      </c>
      <c r="E1866">
        <v>7813</v>
      </c>
      <c r="F1866">
        <v>7856</v>
      </c>
    </row>
    <row r="1867" spans="1:6" x14ac:dyDescent="0.25">
      <c r="A1867" s="1">
        <v>41509</v>
      </c>
      <c r="B1867">
        <v>7758</v>
      </c>
      <c r="C1867">
        <v>7816</v>
      </c>
      <c r="D1867">
        <v>7751</v>
      </c>
      <c r="E1867">
        <v>7787</v>
      </c>
      <c r="F1867">
        <v>7841.8</v>
      </c>
    </row>
    <row r="1868" spans="1:6" x14ac:dyDescent="0.25">
      <c r="A1868" s="1">
        <v>41512</v>
      </c>
      <c r="B1868">
        <v>7816</v>
      </c>
      <c r="C1868">
        <v>7844</v>
      </c>
      <c r="D1868">
        <v>7786</v>
      </c>
      <c r="E1868">
        <v>7825</v>
      </c>
      <c r="F1868">
        <v>7823.6</v>
      </c>
    </row>
    <row r="1869" spans="1:6" x14ac:dyDescent="0.25">
      <c r="A1869" s="1">
        <v>41513</v>
      </c>
      <c r="B1869">
        <v>7804</v>
      </c>
      <c r="C1869">
        <v>7818</v>
      </c>
      <c r="D1869">
        <v>7747</v>
      </c>
      <c r="E1869">
        <v>7757</v>
      </c>
      <c r="F1869">
        <v>7797.4</v>
      </c>
    </row>
    <row r="1870" spans="1:6" x14ac:dyDescent="0.25">
      <c r="A1870" s="1">
        <v>41514</v>
      </c>
      <c r="B1870">
        <v>7700</v>
      </c>
      <c r="C1870">
        <v>7780</v>
      </c>
      <c r="D1870">
        <v>7678</v>
      </c>
      <c r="E1870">
        <v>7780</v>
      </c>
      <c r="F1870">
        <v>7792.4</v>
      </c>
    </row>
    <row r="1871" spans="1:6" x14ac:dyDescent="0.25">
      <c r="A1871" s="1">
        <v>41515</v>
      </c>
      <c r="B1871">
        <v>7810</v>
      </c>
      <c r="C1871">
        <v>7900</v>
      </c>
      <c r="D1871">
        <v>7788</v>
      </c>
      <c r="E1871">
        <v>7896</v>
      </c>
      <c r="F1871">
        <v>7809</v>
      </c>
    </row>
    <row r="1872" spans="1:6" x14ac:dyDescent="0.25">
      <c r="A1872" s="1">
        <v>41516</v>
      </c>
      <c r="B1872">
        <v>7895</v>
      </c>
      <c r="C1872">
        <v>7983</v>
      </c>
      <c r="D1872">
        <v>7880</v>
      </c>
      <c r="E1872">
        <v>7970</v>
      </c>
      <c r="F1872">
        <v>7845.6</v>
      </c>
    </row>
    <row r="1873" spans="1:6" x14ac:dyDescent="0.25">
      <c r="A1873" s="1">
        <v>41519</v>
      </c>
      <c r="B1873">
        <v>7968</v>
      </c>
      <c r="C1873">
        <v>8025</v>
      </c>
      <c r="D1873">
        <v>7955</v>
      </c>
      <c r="E1873">
        <v>8018</v>
      </c>
      <c r="F1873">
        <v>7884.2</v>
      </c>
    </row>
    <row r="1874" spans="1:6" x14ac:dyDescent="0.25">
      <c r="A1874" s="1">
        <v>41520</v>
      </c>
      <c r="B1874">
        <v>8045</v>
      </c>
      <c r="C1874">
        <v>8079</v>
      </c>
      <c r="D1874">
        <v>8025</v>
      </c>
      <c r="E1874">
        <v>8054</v>
      </c>
      <c r="F1874">
        <v>7943.6</v>
      </c>
    </row>
    <row r="1875" spans="1:6" x14ac:dyDescent="0.25">
      <c r="A1875" s="1">
        <v>41521</v>
      </c>
      <c r="B1875">
        <v>8017</v>
      </c>
      <c r="C1875">
        <v>8074</v>
      </c>
      <c r="D1875">
        <v>8005</v>
      </c>
      <c r="E1875">
        <v>8073</v>
      </c>
      <c r="F1875">
        <v>8002.2</v>
      </c>
    </row>
    <row r="1876" spans="1:6" x14ac:dyDescent="0.25">
      <c r="A1876" s="1">
        <v>41522</v>
      </c>
      <c r="B1876">
        <v>8092</v>
      </c>
      <c r="C1876">
        <v>8142</v>
      </c>
      <c r="D1876">
        <v>8070</v>
      </c>
      <c r="E1876">
        <v>8130</v>
      </c>
      <c r="F1876">
        <v>8049</v>
      </c>
    </row>
    <row r="1877" spans="1:6" x14ac:dyDescent="0.25">
      <c r="A1877" s="1">
        <v>41523</v>
      </c>
      <c r="B1877">
        <v>8122</v>
      </c>
      <c r="C1877">
        <v>8154</v>
      </c>
      <c r="D1877">
        <v>8120</v>
      </c>
      <c r="E1877">
        <v>8141</v>
      </c>
      <c r="F1877">
        <v>8083.2</v>
      </c>
    </row>
    <row r="1878" spans="1:6" x14ac:dyDescent="0.25">
      <c r="A1878" s="1">
        <v>41526</v>
      </c>
      <c r="B1878">
        <v>8158</v>
      </c>
      <c r="C1878">
        <v>8183</v>
      </c>
      <c r="D1878">
        <v>8095</v>
      </c>
      <c r="E1878">
        <v>8159</v>
      </c>
      <c r="F1878">
        <v>8111.4</v>
      </c>
    </row>
    <row r="1879" spans="1:6" x14ac:dyDescent="0.25">
      <c r="A1879" s="1">
        <v>41527</v>
      </c>
      <c r="B1879">
        <v>8192</v>
      </c>
      <c r="C1879">
        <v>8220</v>
      </c>
      <c r="D1879">
        <v>8135</v>
      </c>
      <c r="E1879">
        <v>8170</v>
      </c>
      <c r="F1879">
        <v>8134.6</v>
      </c>
    </row>
    <row r="1880" spans="1:6" x14ac:dyDescent="0.25">
      <c r="A1880" s="1">
        <v>41528</v>
      </c>
      <c r="B1880">
        <v>8185</v>
      </c>
      <c r="C1880">
        <v>8200</v>
      </c>
      <c r="D1880">
        <v>8131</v>
      </c>
      <c r="E1880">
        <v>8189</v>
      </c>
      <c r="F1880">
        <v>8157.8</v>
      </c>
    </row>
    <row r="1881" spans="1:6" x14ac:dyDescent="0.25">
      <c r="A1881" s="1">
        <v>41529</v>
      </c>
      <c r="B1881">
        <v>8181</v>
      </c>
      <c r="C1881">
        <v>8217</v>
      </c>
      <c r="D1881">
        <v>8164</v>
      </c>
      <c r="E1881">
        <v>8194</v>
      </c>
      <c r="F1881">
        <v>8170.6</v>
      </c>
    </row>
    <row r="1882" spans="1:6" x14ac:dyDescent="0.25">
      <c r="A1882" s="1">
        <v>41530</v>
      </c>
      <c r="B1882">
        <v>8189</v>
      </c>
      <c r="C1882">
        <v>8215</v>
      </c>
      <c r="D1882">
        <v>8146</v>
      </c>
      <c r="E1882">
        <v>8147</v>
      </c>
      <c r="F1882">
        <v>8171.8</v>
      </c>
    </row>
    <row r="1883" spans="1:6" x14ac:dyDescent="0.25">
      <c r="A1883" s="1">
        <v>41531</v>
      </c>
      <c r="B1883">
        <v>8157</v>
      </c>
      <c r="C1883">
        <v>8178</v>
      </c>
      <c r="D1883">
        <v>8147</v>
      </c>
      <c r="E1883">
        <v>8163</v>
      </c>
      <c r="F1883">
        <v>8172.6</v>
      </c>
    </row>
    <row r="1884" spans="1:6" x14ac:dyDescent="0.25">
      <c r="A1884" s="1">
        <v>41533</v>
      </c>
      <c r="B1884">
        <v>8211</v>
      </c>
      <c r="C1884">
        <v>8259</v>
      </c>
      <c r="D1884">
        <v>8197</v>
      </c>
      <c r="E1884">
        <v>8249</v>
      </c>
      <c r="F1884">
        <v>8188.4</v>
      </c>
    </row>
    <row r="1885" spans="1:6" x14ac:dyDescent="0.25">
      <c r="A1885" s="1">
        <v>41534</v>
      </c>
      <c r="B1885">
        <v>8222</v>
      </c>
      <c r="C1885">
        <v>8242</v>
      </c>
      <c r="D1885">
        <v>8209</v>
      </c>
      <c r="E1885">
        <v>8241</v>
      </c>
      <c r="F1885">
        <v>8198.7999999999993</v>
      </c>
    </row>
    <row r="1886" spans="1:6" x14ac:dyDescent="0.25">
      <c r="A1886" s="1">
        <v>41535</v>
      </c>
      <c r="B1886">
        <v>8250</v>
      </c>
      <c r="C1886">
        <v>8269</v>
      </c>
      <c r="D1886">
        <v>8223</v>
      </c>
      <c r="E1886">
        <v>8238</v>
      </c>
      <c r="F1886">
        <v>8207.6</v>
      </c>
    </row>
    <row r="1887" spans="1:6" x14ac:dyDescent="0.25">
      <c r="A1887" s="1">
        <v>41540</v>
      </c>
      <c r="B1887">
        <v>8183</v>
      </c>
      <c r="C1887">
        <v>8269</v>
      </c>
      <c r="D1887">
        <v>8180</v>
      </c>
      <c r="E1887">
        <v>8259</v>
      </c>
      <c r="F1887">
        <v>8230</v>
      </c>
    </row>
    <row r="1888" spans="1:6" x14ac:dyDescent="0.25">
      <c r="A1888" s="1">
        <v>41541</v>
      </c>
      <c r="B1888">
        <v>8250</v>
      </c>
      <c r="C1888">
        <v>8274</v>
      </c>
      <c r="D1888">
        <v>8221</v>
      </c>
      <c r="E1888">
        <v>8270</v>
      </c>
      <c r="F1888">
        <v>8251.4</v>
      </c>
    </row>
    <row r="1889" spans="1:6" x14ac:dyDescent="0.25">
      <c r="A1889" s="1">
        <v>41542</v>
      </c>
      <c r="B1889">
        <v>8245</v>
      </c>
      <c r="C1889">
        <v>8258</v>
      </c>
      <c r="D1889">
        <v>8222</v>
      </c>
      <c r="E1889">
        <v>8233</v>
      </c>
      <c r="F1889">
        <v>8248.2000000000007</v>
      </c>
    </row>
    <row r="1890" spans="1:6" x14ac:dyDescent="0.25">
      <c r="A1890" s="1">
        <v>41543</v>
      </c>
      <c r="B1890">
        <v>8214</v>
      </c>
      <c r="C1890">
        <v>8242</v>
      </c>
      <c r="D1890">
        <v>8156</v>
      </c>
      <c r="E1890">
        <v>8181</v>
      </c>
      <c r="F1890">
        <v>8236.2000000000007</v>
      </c>
    </row>
    <row r="1891" spans="1:6" x14ac:dyDescent="0.25">
      <c r="A1891" s="1">
        <v>41544</v>
      </c>
      <c r="B1891">
        <v>8191</v>
      </c>
      <c r="C1891">
        <v>8207</v>
      </c>
      <c r="D1891">
        <v>8175</v>
      </c>
      <c r="E1891">
        <v>8182</v>
      </c>
      <c r="F1891">
        <v>8225</v>
      </c>
    </row>
    <row r="1892" spans="1:6" x14ac:dyDescent="0.25">
      <c r="A1892" s="1">
        <v>41547</v>
      </c>
      <c r="B1892">
        <v>8127</v>
      </c>
      <c r="C1892">
        <v>8156</v>
      </c>
      <c r="D1892">
        <v>8084</v>
      </c>
      <c r="E1892">
        <v>8121</v>
      </c>
      <c r="F1892">
        <v>8197.4</v>
      </c>
    </row>
    <row r="1893" spans="1:6" x14ac:dyDescent="0.25">
      <c r="A1893" s="1">
        <v>41548</v>
      </c>
      <c r="B1893">
        <v>8151</v>
      </c>
      <c r="C1893">
        <v>8175</v>
      </c>
      <c r="D1893">
        <v>8137</v>
      </c>
      <c r="E1893">
        <v>8149</v>
      </c>
      <c r="F1893">
        <v>8173.2</v>
      </c>
    </row>
    <row r="1894" spans="1:6" x14ac:dyDescent="0.25">
      <c r="A1894" s="1">
        <v>41549</v>
      </c>
      <c r="B1894">
        <v>8180</v>
      </c>
      <c r="C1894">
        <v>8192</v>
      </c>
      <c r="D1894">
        <v>8157</v>
      </c>
      <c r="E1894">
        <v>8159</v>
      </c>
      <c r="F1894">
        <v>8158.4</v>
      </c>
    </row>
    <row r="1895" spans="1:6" x14ac:dyDescent="0.25">
      <c r="A1895" s="1">
        <v>41550</v>
      </c>
      <c r="B1895">
        <v>8175</v>
      </c>
      <c r="C1895">
        <v>8384</v>
      </c>
      <c r="D1895">
        <v>8169</v>
      </c>
      <c r="E1895">
        <v>8379</v>
      </c>
      <c r="F1895">
        <v>8198</v>
      </c>
    </row>
    <row r="1896" spans="1:6" x14ac:dyDescent="0.25">
      <c r="A1896" s="1">
        <v>41551</v>
      </c>
      <c r="B1896">
        <v>8362</v>
      </c>
      <c r="C1896">
        <v>8393</v>
      </c>
      <c r="D1896">
        <v>8346</v>
      </c>
      <c r="E1896">
        <v>8367</v>
      </c>
      <c r="F1896">
        <v>8235</v>
      </c>
    </row>
    <row r="1897" spans="1:6" x14ac:dyDescent="0.25">
      <c r="A1897" s="1">
        <v>41554</v>
      </c>
      <c r="B1897">
        <v>8360</v>
      </c>
      <c r="C1897">
        <v>8370</v>
      </c>
      <c r="D1897">
        <v>8296</v>
      </c>
      <c r="E1897">
        <v>8325</v>
      </c>
      <c r="F1897">
        <v>8275.7999999999993</v>
      </c>
    </row>
    <row r="1898" spans="1:6" x14ac:dyDescent="0.25">
      <c r="A1898" s="1">
        <v>41555</v>
      </c>
      <c r="B1898">
        <v>8297</v>
      </c>
      <c r="C1898">
        <v>8383</v>
      </c>
      <c r="D1898">
        <v>8290</v>
      </c>
      <c r="E1898">
        <v>8376</v>
      </c>
      <c r="F1898">
        <v>8321.2000000000007</v>
      </c>
    </row>
    <row r="1899" spans="1:6" x14ac:dyDescent="0.25">
      <c r="A1899" s="1">
        <v>41556</v>
      </c>
      <c r="B1899">
        <v>8333</v>
      </c>
      <c r="C1899">
        <v>8378</v>
      </c>
      <c r="D1899">
        <v>8319</v>
      </c>
      <c r="E1899">
        <v>8339</v>
      </c>
      <c r="F1899">
        <v>8357.2000000000007</v>
      </c>
    </row>
    <row r="1900" spans="1:6" x14ac:dyDescent="0.25">
      <c r="A1900" s="1">
        <v>41558</v>
      </c>
      <c r="B1900">
        <v>8448</v>
      </c>
      <c r="C1900">
        <v>8450</v>
      </c>
      <c r="D1900">
        <v>8355</v>
      </c>
      <c r="E1900">
        <v>8359</v>
      </c>
      <c r="F1900">
        <v>8353.2000000000007</v>
      </c>
    </row>
    <row r="1901" spans="1:6" x14ac:dyDescent="0.25">
      <c r="A1901" s="1">
        <v>41561</v>
      </c>
      <c r="B1901">
        <v>8348</v>
      </c>
      <c r="C1901">
        <v>8349</v>
      </c>
      <c r="D1901">
        <v>8272</v>
      </c>
      <c r="E1901">
        <v>8295</v>
      </c>
      <c r="F1901">
        <v>8338.7999999999993</v>
      </c>
    </row>
    <row r="1902" spans="1:6" x14ac:dyDescent="0.25">
      <c r="A1902" s="1">
        <v>41562</v>
      </c>
      <c r="B1902">
        <v>8350</v>
      </c>
      <c r="C1902">
        <v>8385</v>
      </c>
      <c r="D1902">
        <v>8338</v>
      </c>
      <c r="E1902">
        <v>8357</v>
      </c>
      <c r="F1902">
        <v>8345.2000000000007</v>
      </c>
    </row>
    <row r="1903" spans="1:6" x14ac:dyDescent="0.25">
      <c r="A1903" s="1">
        <v>41563</v>
      </c>
      <c r="B1903">
        <v>8371</v>
      </c>
      <c r="C1903">
        <v>8378</v>
      </c>
      <c r="D1903">
        <v>8340</v>
      </c>
      <c r="E1903">
        <v>8346</v>
      </c>
      <c r="F1903">
        <v>8339.2000000000007</v>
      </c>
    </row>
    <row r="1904" spans="1:6" x14ac:dyDescent="0.25">
      <c r="A1904" s="1">
        <v>41564</v>
      </c>
      <c r="B1904">
        <v>8388</v>
      </c>
      <c r="C1904">
        <v>8421</v>
      </c>
      <c r="D1904">
        <v>8355</v>
      </c>
      <c r="E1904">
        <v>8365</v>
      </c>
      <c r="F1904">
        <v>8344.4</v>
      </c>
    </row>
    <row r="1905" spans="1:6" x14ac:dyDescent="0.25">
      <c r="A1905" s="1">
        <v>41565</v>
      </c>
      <c r="B1905">
        <v>8378</v>
      </c>
      <c r="C1905">
        <v>8429</v>
      </c>
      <c r="D1905">
        <v>8372</v>
      </c>
      <c r="E1905">
        <v>8417</v>
      </c>
      <c r="F1905">
        <v>8356</v>
      </c>
    </row>
    <row r="1906" spans="1:6" x14ac:dyDescent="0.25">
      <c r="A1906" s="1">
        <v>41568</v>
      </c>
      <c r="B1906">
        <v>8440</v>
      </c>
      <c r="C1906">
        <v>8444</v>
      </c>
      <c r="D1906">
        <v>8393</v>
      </c>
      <c r="E1906">
        <v>8402</v>
      </c>
      <c r="F1906">
        <v>8377.4</v>
      </c>
    </row>
    <row r="1907" spans="1:6" x14ac:dyDescent="0.25">
      <c r="A1907" s="1">
        <v>41569</v>
      </c>
      <c r="B1907">
        <v>8383</v>
      </c>
      <c r="C1907">
        <v>8423</v>
      </c>
      <c r="D1907">
        <v>8352</v>
      </c>
      <c r="E1907">
        <v>8417</v>
      </c>
      <c r="F1907">
        <v>8389.4</v>
      </c>
    </row>
    <row r="1908" spans="1:6" x14ac:dyDescent="0.25">
      <c r="A1908" s="1">
        <v>41570</v>
      </c>
      <c r="B1908">
        <v>8435</v>
      </c>
      <c r="C1908">
        <v>8442</v>
      </c>
      <c r="D1908">
        <v>8340</v>
      </c>
      <c r="E1908">
        <v>8359</v>
      </c>
      <c r="F1908">
        <v>8392</v>
      </c>
    </row>
    <row r="1909" spans="1:6" x14ac:dyDescent="0.25">
      <c r="A1909" s="1">
        <v>41571</v>
      </c>
      <c r="B1909">
        <v>8339</v>
      </c>
      <c r="C1909">
        <v>8400</v>
      </c>
      <c r="D1909">
        <v>8326</v>
      </c>
      <c r="E1909">
        <v>8394</v>
      </c>
      <c r="F1909">
        <v>8397.7999999999993</v>
      </c>
    </row>
    <row r="1910" spans="1:6" x14ac:dyDescent="0.25">
      <c r="A1910" s="1">
        <v>41572</v>
      </c>
      <c r="B1910">
        <v>8360</v>
      </c>
      <c r="C1910">
        <v>8367</v>
      </c>
      <c r="D1910">
        <v>8291</v>
      </c>
      <c r="E1910">
        <v>8321</v>
      </c>
      <c r="F1910">
        <v>8378.6</v>
      </c>
    </row>
    <row r="1911" spans="1:6" x14ac:dyDescent="0.25">
      <c r="A1911" s="1">
        <v>41575</v>
      </c>
      <c r="B1911">
        <v>8320</v>
      </c>
      <c r="C1911">
        <v>8443</v>
      </c>
      <c r="D1911">
        <v>8320</v>
      </c>
      <c r="E1911">
        <v>8390</v>
      </c>
      <c r="F1911">
        <v>8376.2000000000007</v>
      </c>
    </row>
    <row r="1912" spans="1:6" x14ac:dyDescent="0.25">
      <c r="A1912" s="1">
        <v>41576</v>
      </c>
      <c r="B1912">
        <v>8372</v>
      </c>
      <c r="C1912">
        <v>8435</v>
      </c>
      <c r="D1912">
        <v>8360</v>
      </c>
      <c r="E1912">
        <v>8409</v>
      </c>
      <c r="F1912">
        <v>8374.6</v>
      </c>
    </row>
    <row r="1913" spans="1:6" x14ac:dyDescent="0.25">
      <c r="A1913" s="1">
        <v>41577</v>
      </c>
      <c r="B1913">
        <v>8430</v>
      </c>
      <c r="C1913">
        <v>8459</v>
      </c>
      <c r="D1913">
        <v>8405</v>
      </c>
      <c r="E1913">
        <v>8440</v>
      </c>
      <c r="F1913">
        <v>8390.7999999999993</v>
      </c>
    </row>
    <row r="1914" spans="1:6" x14ac:dyDescent="0.25">
      <c r="A1914" s="1">
        <v>41578</v>
      </c>
      <c r="B1914">
        <v>8420</v>
      </c>
      <c r="C1914">
        <v>8465</v>
      </c>
      <c r="D1914">
        <v>8408</v>
      </c>
      <c r="E1914">
        <v>8427</v>
      </c>
      <c r="F1914">
        <v>8397.4</v>
      </c>
    </row>
    <row r="1915" spans="1:6" x14ac:dyDescent="0.25">
      <c r="A1915" s="1">
        <v>41579</v>
      </c>
      <c r="B1915">
        <v>8455</v>
      </c>
      <c r="C1915">
        <v>8476</v>
      </c>
      <c r="D1915">
        <v>8372</v>
      </c>
      <c r="E1915">
        <v>8391</v>
      </c>
      <c r="F1915">
        <v>8411.4</v>
      </c>
    </row>
    <row r="1916" spans="1:6" x14ac:dyDescent="0.25">
      <c r="A1916" s="1">
        <v>41582</v>
      </c>
      <c r="B1916">
        <v>8361</v>
      </c>
      <c r="C1916">
        <v>8369</v>
      </c>
      <c r="D1916">
        <v>8313</v>
      </c>
      <c r="E1916">
        <v>8339</v>
      </c>
      <c r="F1916">
        <v>8401.2000000000007</v>
      </c>
    </row>
    <row r="1917" spans="1:6" x14ac:dyDescent="0.25">
      <c r="A1917" s="1">
        <v>41583</v>
      </c>
      <c r="B1917">
        <v>8320</v>
      </c>
      <c r="C1917">
        <v>8354</v>
      </c>
      <c r="D1917">
        <v>8255</v>
      </c>
      <c r="E1917">
        <v>8267</v>
      </c>
      <c r="F1917">
        <v>8372.7999999999993</v>
      </c>
    </row>
    <row r="1918" spans="1:6" x14ac:dyDescent="0.25">
      <c r="A1918" s="1">
        <v>41584</v>
      </c>
      <c r="B1918">
        <v>8280</v>
      </c>
      <c r="C1918">
        <v>8288</v>
      </c>
      <c r="D1918">
        <v>8231</v>
      </c>
      <c r="E1918">
        <v>8271</v>
      </c>
      <c r="F1918">
        <v>8339</v>
      </c>
    </row>
    <row r="1919" spans="1:6" x14ac:dyDescent="0.25">
      <c r="A1919" s="1">
        <v>41585</v>
      </c>
      <c r="B1919">
        <v>8273</v>
      </c>
      <c r="C1919">
        <v>8280</v>
      </c>
      <c r="D1919">
        <v>8224</v>
      </c>
      <c r="E1919">
        <v>8258</v>
      </c>
      <c r="F1919">
        <v>8305.2000000000007</v>
      </c>
    </row>
    <row r="1920" spans="1:6" x14ac:dyDescent="0.25">
      <c r="A1920" s="1">
        <v>41586</v>
      </c>
      <c r="B1920">
        <v>8222</v>
      </c>
      <c r="C1920">
        <v>8269</v>
      </c>
      <c r="D1920">
        <v>8211</v>
      </c>
      <c r="E1920">
        <v>8223</v>
      </c>
      <c r="F1920">
        <v>8271.6</v>
      </c>
    </row>
    <row r="1921" spans="1:6" x14ac:dyDescent="0.25">
      <c r="A1921" s="1">
        <v>41589</v>
      </c>
      <c r="B1921">
        <v>8236</v>
      </c>
      <c r="C1921">
        <v>8237</v>
      </c>
      <c r="D1921">
        <v>8179</v>
      </c>
      <c r="E1921">
        <v>8194</v>
      </c>
      <c r="F1921">
        <v>8242.6</v>
      </c>
    </row>
    <row r="1922" spans="1:6" x14ac:dyDescent="0.25">
      <c r="A1922" s="1">
        <v>41590</v>
      </c>
      <c r="B1922">
        <v>8215</v>
      </c>
      <c r="C1922">
        <v>8247</v>
      </c>
      <c r="D1922">
        <v>8172</v>
      </c>
      <c r="E1922">
        <v>8217</v>
      </c>
      <c r="F1922">
        <v>8232.6</v>
      </c>
    </row>
    <row r="1923" spans="1:6" x14ac:dyDescent="0.25">
      <c r="A1923" s="1">
        <v>41591</v>
      </c>
      <c r="B1923">
        <v>8195</v>
      </c>
      <c r="C1923">
        <v>8198</v>
      </c>
      <c r="D1923">
        <v>8102</v>
      </c>
      <c r="E1923">
        <v>8107</v>
      </c>
      <c r="F1923">
        <v>8199.7999999999993</v>
      </c>
    </row>
    <row r="1924" spans="1:6" x14ac:dyDescent="0.25">
      <c r="A1924" s="1">
        <v>41592</v>
      </c>
      <c r="B1924">
        <v>8137</v>
      </c>
      <c r="C1924">
        <v>8156</v>
      </c>
      <c r="D1924">
        <v>8085</v>
      </c>
      <c r="E1924">
        <v>8125</v>
      </c>
      <c r="F1924">
        <v>8173.2</v>
      </c>
    </row>
    <row r="1925" spans="1:6" x14ac:dyDescent="0.25">
      <c r="A1925" s="1">
        <v>41593</v>
      </c>
      <c r="B1925">
        <v>8175</v>
      </c>
      <c r="C1925">
        <v>8215</v>
      </c>
      <c r="D1925">
        <v>8148</v>
      </c>
      <c r="E1925">
        <v>8161</v>
      </c>
      <c r="F1925">
        <v>8160.8</v>
      </c>
    </row>
    <row r="1926" spans="1:6" x14ac:dyDescent="0.25">
      <c r="A1926" s="1">
        <v>41596</v>
      </c>
      <c r="B1926">
        <v>8191</v>
      </c>
      <c r="C1926">
        <v>8222</v>
      </c>
      <c r="D1926">
        <v>8178</v>
      </c>
      <c r="E1926">
        <v>8188</v>
      </c>
      <c r="F1926">
        <v>8159.6</v>
      </c>
    </row>
    <row r="1927" spans="1:6" x14ac:dyDescent="0.25">
      <c r="A1927" s="1">
        <v>41597</v>
      </c>
      <c r="B1927">
        <v>8230</v>
      </c>
      <c r="C1927">
        <v>8256</v>
      </c>
      <c r="D1927">
        <v>8209</v>
      </c>
      <c r="E1927">
        <v>8249</v>
      </c>
      <c r="F1927">
        <v>8166</v>
      </c>
    </row>
    <row r="1928" spans="1:6" x14ac:dyDescent="0.25">
      <c r="A1928" s="1">
        <v>41598</v>
      </c>
      <c r="B1928">
        <v>8237</v>
      </c>
      <c r="C1928">
        <v>8259</v>
      </c>
      <c r="D1928">
        <v>8216</v>
      </c>
      <c r="E1928">
        <v>8220</v>
      </c>
      <c r="F1928">
        <v>8188.6</v>
      </c>
    </row>
    <row r="1929" spans="1:6" x14ac:dyDescent="0.25">
      <c r="A1929" s="1">
        <v>41599</v>
      </c>
      <c r="B1929">
        <v>8168</v>
      </c>
      <c r="C1929">
        <v>8170</v>
      </c>
      <c r="D1929">
        <v>8050</v>
      </c>
      <c r="E1929">
        <v>8077</v>
      </c>
      <c r="F1929">
        <v>8179</v>
      </c>
    </row>
    <row r="1930" spans="1:6" x14ac:dyDescent="0.25">
      <c r="A1930" s="1">
        <v>41600</v>
      </c>
      <c r="B1930">
        <v>8080</v>
      </c>
      <c r="C1930">
        <v>8110</v>
      </c>
      <c r="D1930">
        <v>8077</v>
      </c>
      <c r="E1930">
        <v>8087</v>
      </c>
      <c r="F1930">
        <v>8164.2</v>
      </c>
    </row>
    <row r="1931" spans="1:6" x14ac:dyDescent="0.25">
      <c r="A1931" s="1">
        <v>41603</v>
      </c>
      <c r="B1931">
        <v>8140</v>
      </c>
      <c r="C1931">
        <v>8218</v>
      </c>
      <c r="D1931">
        <v>8138</v>
      </c>
      <c r="E1931">
        <v>8196</v>
      </c>
      <c r="F1931">
        <v>8165.8</v>
      </c>
    </row>
    <row r="1932" spans="1:6" x14ac:dyDescent="0.25">
      <c r="A1932" s="1">
        <v>41604</v>
      </c>
      <c r="B1932">
        <v>8168</v>
      </c>
      <c r="C1932">
        <v>8277</v>
      </c>
      <c r="D1932">
        <v>8153</v>
      </c>
      <c r="E1932">
        <v>8247</v>
      </c>
      <c r="F1932">
        <v>8165.4</v>
      </c>
    </row>
    <row r="1933" spans="1:6" x14ac:dyDescent="0.25">
      <c r="A1933" s="1">
        <v>41605</v>
      </c>
      <c r="B1933">
        <v>8245</v>
      </c>
      <c r="C1933">
        <v>8300</v>
      </c>
      <c r="D1933">
        <v>8233</v>
      </c>
      <c r="E1933">
        <v>8298</v>
      </c>
      <c r="F1933">
        <v>8181</v>
      </c>
    </row>
    <row r="1934" spans="1:6" x14ac:dyDescent="0.25">
      <c r="A1934" s="1">
        <v>41606</v>
      </c>
      <c r="B1934">
        <v>8349</v>
      </c>
      <c r="C1934">
        <v>8392</v>
      </c>
      <c r="D1934">
        <v>8337</v>
      </c>
      <c r="E1934">
        <v>8380</v>
      </c>
      <c r="F1934">
        <v>8241.6</v>
      </c>
    </row>
    <row r="1935" spans="1:6" x14ac:dyDescent="0.25">
      <c r="A1935" s="1">
        <v>41607</v>
      </c>
      <c r="B1935">
        <v>8376</v>
      </c>
      <c r="C1935">
        <v>8429</v>
      </c>
      <c r="D1935">
        <v>8372</v>
      </c>
      <c r="E1935">
        <v>8428</v>
      </c>
      <c r="F1935">
        <v>8309.7999999999993</v>
      </c>
    </row>
    <row r="1936" spans="1:6" x14ac:dyDescent="0.25">
      <c r="A1936" s="1">
        <v>41610</v>
      </c>
      <c r="B1936">
        <v>8437</v>
      </c>
      <c r="C1936">
        <v>8448</v>
      </c>
      <c r="D1936">
        <v>8391</v>
      </c>
      <c r="E1936">
        <v>8413</v>
      </c>
      <c r="F1936">
        <v>8353.2000000000007</v>
      </c>
    </row>
    <row r="1937" spans="1:6" x14ac:dyDescent="0.25">
      <c r="A1937" s="1">
        <v>41611</v>
      </c>
      <c r="B1937">
        <v>8391</v>
      </c>
      <c r="C1937">
        <v>8424</v>
      </c>
      <c r="D1937">
        <v>8378</v>
      </c>
      <c r="E1937">
        <v>8408</v>
      </c>
      <c r="F1937">
        <v>8385.4</v>
      </c>
    </row>
    <row r="1938" spans="1:6" x14ac:dyDescent="0.25">
      <c r="A1938" s="1">
        <v>41612</v>
      </c>
      <c r="B1938">
        <v>8380</v>
      </c>
      <c r="C1938">
        <v>8449</v>
      </c>
      <c r="D1938">
        <v>8370</v>
      </c>
      <c r="E1938">
        <v>8437</v>
      </c>
      <c r="F1938">
        <v>8413.2000000000007</v>
      </c>
    </row>
    <row r="1939" spans="1:6" x14ac:dyDescent="0.25">
      <c r="A1939" s="1">
        <v>41613</v>
      </c>
      <c r="B1939">
        <v>8422</v>
      </c>
      <c r="C1939">
        <v>8443</v>
      </c>
      <c r="D1939">
        <v>8350</v>
      </c>
      <c r="E1939">
        <v>8378</v>
      </c>
      <c r="F1939">
        <v>8412.7999999999993</v>
      </c>
    </row>
    <row r="1940" spans="1:6" x14ac:dyDescent="0.25">
      <c r="A1940" s="1">
        <v>41614</v>
      </c>
      <c r="B1940">
        <v>8361</v>
      </c>
      <c r="C1940">
        <v>8409</v>
      </c>
      <c r="D1940">
        <v>8354</v>
      </c>
      <c r="E1940">
        <v>8386</v>
      </c>
      <c r="F1940">
        <v>8404.4</v>
      </c>
    </row>
    <row r="1941" spans="1:6" x14ac:dyDescent="0.25">
      <c r="A1941" s="1">
        <v>41617</v>
      </c>
      <c r="B1941">
        <v>8459</v>
      </c>
      <c r="C1941">
        <v>8495</v>
      </c>
      <c r="D1941">
        <v>8445</v>
      </c>
      <c r="E1941">
        <v>8456</v>
      </c>
      <c r="F1941">
        <v>8413</v>
      </c>
    </row>
    <row r="1942" spans="1:6" x14ac:dyDescent="0.25">
      <c r="A1942" s="1">
        <v>41618</v>
      </c>
      <c r="B1942">
        <v>8430</v>
      </c>
      <c r="C1942">
        <v>8458</v>
      </c>
      <c r="D1942">
        <v>8422</v>
      </c>
      <c r="E1942">
        <v>8455</v>
      </c>
      <c r="F1942">
        <v>8422.4</v>
      </c>
    </row>
    <row r="1943" spans="1:6" x14ac:dyDescent="0.25">
      <c r="A1943" s="1">
        <v>41619</v>
      </c>
      <c r="B1943">
        <v>8452</v>
      </c>
      <c r="C1943">
        <v>8510</v>
      </c>
      <c r="D1943">
        <v>8422</v>
      </c>
      <c r="E1943">
        <v>8430</v>
      </c>
      <c r="F1943">
        <v>8421</v>
      </c>
    </row>
    <row r="1944" spans="1:6" x14ac:dyDescent="0.25">
      <c r="A1944" s="1">
        <v>41620</v>
      </c>
      <c r="B1944">
        <v>8388</v>
      </c>
      <c r="C1944">
        <v>8406</v>
      </c>
      <c r="D1944">
        <v>8350</v>
      </c>
      <c r="E1944">
        <v>8392</v>
      </c>
      <c r="F1944">
        <v>8423.7999999999993</v>
      </c>
    </row>
    <row r="1945" spans="1:6" x14ac:dyDescent="0.25">
      <c r="A1945" s="1">
        <v>41621</v>
      </c>
      <c r="B1945">
        <v>8360</v>
      </c>
      <c r="C1945">
        <v>8405</v>
      </c>
      <c r="D1945">
        <v>8352</v>
      </c>
      <c r="E1945">
        <v>8397</v>
      </c>
      <c r="F1945">
        <v>8426</v>
      </c>
    </row>
    <row r="1946" spans="1:6" x14ac:dyDescent="0.25">
      <c r="A1946" s="1">
        <v>41624</v>
      </c>
      <c r="B1946">
        <v>8371</v>
      </c>
      <c r="C1946">
        <v>8385</v>
      </c>
      <c r="D1946">
        <v>8325</v>
      </c>
      <c r="E1946">
        <v>8334</v>
      </c>
      <c r="F1946">
        <v>8401.6</v>
      </c>
    </row>
    <row r="1947" spans="1:6" x14ac:dyDescent="0.25">
      <c r="A1947" s="1">
        <v>41625</v>
      </c>
      <c r="B1947">
        <v>8381</v>
      </c>
      <c r="C1947">
        <v>8386</v>
      </c>
      <c r="D1947">
        <v>8358</v>
      </c>
      <c r="E1947">
        <v>8362</v>
      </c>
      <c r="F1947">
        <v>8383</v>
      </c>
    </row>
    <row r="1948" spans="1:6" x14ac:dyDescent="0.25">
      <c r="A1948" s="1">
        <v>41626</v>
      </c>
      <c r="B1948">
        <v>8370</v>
      </c>
      <c r="C1948">
        <v>8376</v>
      </c>
      <c r="D1948">
        <v>8338</v>
      </c>
      <c r="E1948">
        <v>8339</v>
      </c>
      <c r="F1948">
        <v>8364.7999999999993</v>
      </c>
    </row>
    <row r="1949" spans="1:6" x14ac:dyDescent="0.25">
      <c r="A1949" s="1">
        <v>41627</v>
      </c>
      <c r="B1949">
        <v>8399</v>
      </c>
      <c r="C1949">
        <v>8431</v>
      </c>
      <c r="D1949">
        <v>8371</v>
      </c>
      <c r="E1949">
        <v>8392</v>
      </c>
      <c r="F1949">
        <v>8364.7999999999993</v>
      </c>
    </row>
    <row r="1950" spans="1:6" x14ac:dyDescent="0.25">
      <c r="A1950" s="1">
        <v>41628</v>
      </c>
      <c r="B1950">
        <v>8392</v>
      </c>
      <c r="C1950">
        <v>8428</v>
      </c>
      <c r="D1950">
        <v>8382</v>
      </c>
      <c r="E1950">
        <v>8417</v>
      </c>
      <c r="F1950">
        <v>8368.7999999999993</v>
      </c>
    </row>
    <row r="1951" spans="1:6" x14ac:dyDescent="0.25">
      <c r="A1951" s="1">
        <v>41631</v>
      </c>
      <c r="B1951">
        <v>8452</v>
      </c>
      <c r="C1951">
        <v>8495</v>
      </c>
      <c r="D1951">
        <v>8445</v>
      </c>
      <c r="E1951">
        <v>8477</v>
      </c>
      <c r="F1951">
        <v>8397.4</v>
      </c>
    </row>
    <row r="1952" spans="1:6" x14ac:dyDescent="0.25">
      <c r="A1952" s="1">
        <v>41632</v>
      </c>
      <c r="B1952">
        <v>8487</v>
      </c>
      <c r="C1952">
        <v>8488</v>
      </c>
      <c r="D1952">
        <v>8462</v>
      </c>
      <c r="E1952">
        <v>8482</v>
      </c>
      <c r="F1952">
        <v>8421.4</v>
      </c>
    </row>
    <row r="1953" spans="1:6" x14ac:dyDescent="0.25">
      <c r="A1953" s="1">
        <v>41633</v>
      </c>
      <c r="B1953">
        <v>8496</v>
      </c>
      <c r="C1953">
        <v>8505</v>
      </c>
      <c r="D1953">
        <v>8487</v>
      </c>
      <c r="E1953">
        <v>8501</v>
      </c>
      <c r="F1953">
        <v>8453.7999999999993</v>
      </c>
    </row>
    <row r="1954" spans="1:6" x14ac:dyDescent="0.25">
      <c r="A1954" s="1">
        <v>41634</v>
      </c>
      <c r="B1954">
        <v>8509</v>
      </c>
      <c r="C1954">
        <v>8515</v>
      </c>
      <c r="D1954">
        <v>8483</v>
      </c>
      <c r="E1954">
        <v>8501</v>
      </c>
      <c r="F1954">
        <v>8475.6</v>
      </c>
    </row>
    <row r="1955" spans="1:6" x14ac:dyDescent="0.25">
      <c r="A1955" s="1">
        <v>41635</v>
      </c>
      <c r="B1955">
        <v>8494</v>
      </c>
      <c r="C1955">
        <v>8549</v>
      </c>
      <c r="D1955">
        <v>8490</v>
      </c>
      <c r="E1955">
        <v>8545</v>
      </c>
      <c r="F1955">
        <v>8501.2000000000007</v>
      </c>
    </row>
    <row r="1956" spans="1:6" x14ac:dyDescent="0.25">
      <c r="A1956" s="1">
        <v>41638</v>
      </c>
      <c r="B1956">
        <v>8556</v>
      </c>
      <c r="C1956">
        <v>8637</v>
      </c>
      <c r="D1956">
        <v>8546</v>
      </c>
      <c r="E1956">
        <v>8624</v>
      </c>
      <c r="F1956">
        <v>8530.6</v>
      </c>
    </row>
    <row r="1957" spans="1:6" x14ac:dyDescent="0.25">
      <c r="A1957" s="1">
        <v>41639</v>
      </c>
      <c r="B1957">
        <v>8648</v>
      </c>
      <c r="C1957">
        <v>8664</v>
      </c>
      <c r="D1957">
        <v>8622</v>
      </c>
      <c r="E1957">
        <v>8633</v>
      </c>
      <c r="F1957">
        <v>8560.7999999999993</v>
      </c>
    </row>
    <row r="1958" spans="1:6" x14ac:dyDescent="0.25">
      <c r="A1958" s="1">
        <v>41641</v>
      </c>
      <c r="B1958">
        <v>8646</v>
      </c>
      <c r="C1958">
        <v>8648</v>
      </c>
      <c r="D1958">
        <v>8585</v>
      </c>
      <c r="E1958">
        <v>8616</v>
      </c>
      <c r="F1958">
        <v>8583.7999999999993</v>
      </c>
    </row>
    <row r="1959" spans="1:6" x14ac:dyDescent="0.25">
      <c r="A1959" s="1">
        <v>41642</v>
      </c>
      <c r="B1959">
        <v>8596</v>
      </c>
      <c r="C1959">
        <v>8598</v>
      </c>
      <c r="D1959">
        <v>8531</v>
      </c>
      <c r="E1959">
        <v>8543</v>
      </c>
      <c r="F1959">
        <v>8592.2000000000007</v>
      </c>
    </row>
    <row r="1960" spans="1:6" x14ac:dyDescent="0.25">
      <c r="A1960" s="1">
        <v>41645</v>
      </c>
      <c r="B1960">
        <v>8530</v>
      </c>
      <c r="C1960">
        <v>8562</v>
      </c>
      <c r="D1960">
        <v>8504</v>
      </c>
      <c r="E1960">
        <v>8528</v>
      </c>
      <c r="F1960">
        <v>8588.7999999999993</v>
      </c>
    </row>
    <row r="1961" spans="1:6" x14ac:dyDescent="0.25">
      <c r="A1961" s="1">
        <v>41646</v>
      </c>
      <c r="B1961">
        <v>8515</v>
      </c>
      <c r="C1961">
        <v>8575</v>
      </c>
      <c r="D1961">
        <v>8515</v>
      </c>
      <c r="E1961">
        <v>8552</v>
      </c>
      <c r="F1961">
        <v>8574.4</v>
      </c>
    </row>
    <row r="1962" spans="1:6" x14ac:dyDescent="0.25">
      <c r="A1962" s="1">
        <v>41647</v>
      </c>
      <c r="B1962">
        <v>8561</v>
      </c>
      <c r="C1962">
        <v>8599</v>
      </c>
      <c r="D1962">
        <v>8551</v>
      </c>
      <c r="E1962">
        <v>8586</v>
      </c>
      <c r="F1962">
        <v>8565</v>
      </c>
    </row>
    <row r="1963" spans="1:6" x14ac:dyDescent="0.25">
      <c r="A1963" s="1">
        <v>41648</v>
      </c>
      <c r="B1963">
        <v>8562</v>
      </c>
      <c r="C1963">
        <v>8573</v>
      </c>
      <c r="D1963">
        <v>8514</v>
      </c>
      <c r="E1963">
        <v>8527</v>
      </c>
      <c r="F1963">
        <v>8547.2000000000007</v>
      </c>
    </row>
    <row r="1964" spans="1:6" x14ac:dyDescent="0.25">
      <c r="A1964" s="1">
        <v>41649</v>
      </c>
      <c r="B1964">
        <v>8521</v>
      </c>
      <c r="C1964">
        <v>8549</v>
      </c>
      <c r="D1964">
        <v>8516</v>
      </c>
      <c r="E1964">
        <v>8541</v>
      </c>
      <c r="F1964">
        <v>8546.7999999999993</v>
      </c>
    </row>
    <row r="1965" spans="1:6" x14ac:dyDescent="0.25">
      <c r="A1965" s="1">
        <v>41652</v>
      </c>
      <c r="B1965">
        <v>8580</v>
      </c>
      <c r="C1965">
        <v>8629</v>
      </c>
      <c r="D1965">
        <v>8566</v>
      </c>
      <c r="E1965">
        <v>8570</v>
      </c>
      <c r="F1965">
        <v>8555.2000000000007</v>
      </c>
    </row>
    <row r="1966" spans="1:6" x14ac:dyDescent="0.25">
      <c r="A1966" s="1">
        <v>41653</v>
      </c>
      <c r="B1966">
        <v>8531</v>
      </c>
      <c r="C1966">
        <v>8559</v>
      </c>
      <c r="D1966">
        <v>8514</v>
      </c>
      <c r="E1966">
        <v>8547</v>
      </c>
      <c r="F1966">
        <v>8554.2000000000007</v>
      </c>
    </row>
    <row r="1967" spans="1:6" x14ac:dyDescent="0.25">
      <c r="A1967" s="1">
        <v>41654</v>
      </c>
      <c r="B1967">
        <v>8571</v>
      </c>
      <c r="C1967">
        <v>8612</v>
      </c>
      <c r="D1967">
        <v>8563</v>
      </c>
      <c r="E1967">
        <v>8611</v>
      </c>
      <c r="F1967">
        <v>8559.2000000000007</v>
      </c>
    </row>
    <row r="1968" spans="1:6" x14ac:dyDescent="0.25">
      <c r="A1968" s="1">
        <v>41655</v>
      </c>
      <c r="B1968">
        <v>8652</v>
      </c>
      <c r="C1968">
        <v>8662</v>
      </c>
      <c r="D1968">
        <v>8610</v>
      </c>
      <c r="E1968">
        <v>8616</v>
      </c>
      <c r="F1968">
        <v>8577</v>
      </c>
    </row>
    <row r="1969" spans="1:6" x14ac:dyDescent="0.25">
      <c r="A1969" s="1">
        <v>41656</v>
      </c>
      <c r="B1969">
        <v>8612</v>
      </c>
      <c r="C1969">
        <v>8625</v>
      </c>
      <c r="D1969">
        <v>8577</v>
      </c>
      <c r="E1969">
        <v>8606</v>
      </c>
      <c r="F1969">
        <v>8590</v>
      </c>
    </row>
    <row r="1970" spans="1:6" x14ac:dyDescent="0.25">
      <c r="A1970" s="1">
        <v>41659</v>
      </c>
      <c r="B1970">
        <v>8583</v>
      </c>
      <c r="C1970">
        <v>8634</v>
      </c>
      <c r="D1970">
        <v>8571</v>
      </c>
      <c r="E1970">
        <v>8622</v>
      </c>
      <c r="F1970">
        <v>8600.4</v>
      </c>
    </row>
    <row r="1971" spans="1:6" x14ac:dyDescent="0.25">
      <c r="A1971" s="1">
        <v>41660</v>
      </c>
      <c r="B1971">
        <v>8637</v>
      </c>
      <c r="C1971">
        <v>8648</v>
      </c>
      <c r="D1971">
        <v>8610</v>
      </c>
      <c r="E1971">
        <v>8623</v>
      </c>
      <c r="F1971">
        <v>8615.6</v>
      </c>
    </row>
    <row r="1972" spans="1:6" x14ac:dyDescent="0.25">
      <c r="A1972" s="1">
        <v>41661</v>
      </c>
      <c r="B1972">
        <v>8600</v>
      </c>
      <c r="C1972">
        <v>8636</v>
      </c>
      <c r="D1972">
        <v>8585</v>
      </c>
      <c r="E1972">
        <v>8635</v>
      </c>
      <c r="F1972">
        <v>8620.4</v>
      </c>
    </row>
    <row r="1973" spans="1:6" x14ac:dyDescent="0.25">
      <c r="A1973" s="1">
        <v>41662</v>
      </c>
      <c r="B1973">
        <v>8648</v>
      </c>
      <c r="C1973">
        <v>8650</v>
      </c>
      <c r="D1973">
        <v>8587</v>
      </c>
      <c r="E1973">
        <v>8595</v>
      </c>
      <c r="F1973">
        <v>8616.2000000000007</v>
      </c>
    </row>
    <row r="1974" spans="1:6" x14ac:dyDescent="0.25">
      <c r="A1974" s="1">
        <v>41663</v>
      </c>
      <c r="B1974">
        <v>8567</v>
      </c>
      <c r="C1974">
        <v>8628</v>
      </c>
      <c r="D1974">
        <v>8552</v>
      </c>
      <c r="E1974">
        <v>8618</v>
      </c>
      <c r="F1974">
        <v>8618.6</v>
      </c>
    </row>
    <row r="1975" spans="1:6" x14ac:dyDescent="0.25">
      <c r="A1975" s="1">
        <v>41666</v>
      </c>
      <c r="B1975">
        <v>8550</v>
      </c>
      <c r="C1975">
        <v>8550</v>
      </c>
      <c r="D1975">
        <v>8445</v>
      </c>
      <c r="E1975">
        <v>8449</v>
      </c>
      <c r="F1975">
        <v>8584</v>
      </c>
    </row>
    <row r="1976" spans="1:6" x14ac:dyDescent="0.25">
      <c r="A1976" s="1">
        <v>41675</v>
      </c>
      <c r="B1976">
        <v>8302</v>
      </c>
      <c r="C1976">
        <v>8331</v>
      </c>
      <c r="D1976">
        <v>8196</v>
      </c>
      <c r="E1976">
        <v>8242</v>
      </c>
      <c r="F1976">
        <v>8507.7999999999993</v>
      </c>
    </row>
    <row r="1977" spans="1:6" x14ac:dyDescent="0.25">
      <c r="A1977" s="1">
        <v>41676</v>
      </c>
      <c r="B1977">
        <v>8262</v>
      </c>
      <c r="C1977">
        <v>8292</v>
      </c>
      <c r="D1977">
        <v>8247</v>
      </c>
      <c r="E1977">
        <v>8276</v>
      </c>
      <c r="F1977">
        <v>8436</v>
      </c>
    </row>
    <row r="1978" spans="1:6" x14ac:dyDescent="0.25">
      <c r="A1978" s="1">
        <v>41677</v>
      </c>
      <c r="B1978">
        <v>8330</v>
      </c>
      <c r="C1978">
        <v>8373</v>
      </c>
      <c r="D1978">
        <v>8315</v>
      </c>
      <c r="E1978">
        <v>8339</v>
      </c>
      <c r="F1978">
        <v>8384.7999999999993</v>
      </c>
    </row>
    <row r="1979" spans="1:6" x14ac:dyDescent="0.25">
      <c r="A1979" s="1">
        <v>41680</v>
      </c>
      <c r="B1979">
        <v>8375</v>
      </c>
      <c r="C1979">
        <v>8403</v>
      </c>
      <c r="D1979">
        <v>8353</v>
      </c>
      <c r="E1979">
        <v>8355</v>
      </c>
      <c r="F1979">
        <v>8332.2000000000007</v>
      </c>
    </row>
    <row r="1980" spans="1:6" x14ac:dyDescent="0.25">
      <c r="A1980" s="1">
        <v>41681</v>
      </c>
      <c r="B1980">
        <v>8356</v>
      </c>
      <c r="C1980">
        <v>8415</v>
      </c>
      <c r="D1980">
        <v>8346</v>
      </c>
      <c r="E1980">
        <v>8415</v>
      </c>
      <c r="F1980">
        <v>8325.4</v>
      </c>
    </row>
    <row r="1981" spans="1:6" x14ac:dyDescent="0.25">
      <c r="A1981" s="1">
        <v>41682</v>
      </c>
      <c r="B1981">
        <v>8450</v>
      </c>
      <c r="C1981">
        <v>8496</v>
      </c>
      <c r="D1981">
        <v>8438</v>
      </c>
      <c r="E1981">
        <v>8483</v>
      </c>
      <c r="F1981">
        <v>8373.6</v>
      </c>
    </row>
    <row r="1982" spans="1:6" x14ac:dyDescent="0.25">
      <c r="A1982" s="1">
        <v>41683</v>
      </c>
      <c r="B1982">
        <v>8485</v>
      </c>
      <c r="C1982">
        <v>8494</v>
      </c>
      <c r="D1982">
        <v>8443</v>
      </c>
      <c r="E1982">
        <v>8444</v>
      </c>
      <c r="F1982">
        <v>8407.2000000000007</v>
      </c>
    </row>
    <row r="1983" spans="1:6" x14ac:dyDescent="0.25">
      <c r="A1983" s="1">
        <v>41684</v>
      </c>
      <c r="B1983">
        <v>8495</v>
      </c>
      <c r="C1983">
        <v>8567</v>
      </c>
      <c r="D1983">
        <v>8488</v>
      </c>
      <c r="E1983">
        <v>8507</v>
      </c>
      <c r="F1983">
        <v>8440.7999999999993</v>
      </c>
    </row>
    <row r="1984" spans="1:6" x14ac:dyDescent="0.25">
      <c r="A1984" s="1">
        <v>41687</v>
      </c>
      <c r="B1984">
        <v>8548</v>
      </c>
      <c r="C1984">
        <v>8557</v>
      </c>
      <c r="D1984">
        <v>8515</v>
      </c>
      <c r="E1984">
        <v>8528</v>
      </c>
      <c r="F1984">
        <v>8475.4</v>
      </c>
    </row>
    <row r="1985" spans="1:6" x14ac:dyDescent="0.25">
      <c r="A1985" s="1">
        <v>41688</v>
      </c>
      <c r="B1985">
        <v>8522</v>
      </c>
      <c r="C1985">
        <v>8564</v>
      </c>
      <c r="D1985">
        <v>8506</v>
      </c>
      <c r="E1985">
        <v>8563</v>
      </c>
      <c r="F1985">
        <v>8505</v>
      </c>
    </row>
    <row r="1986" spans="1:6" x14ac:dyDescent="0.25">
      <c r="A1986" s="1">
        <v>41689</v>
      </c>
      <c r="B1986">
        <v>8550</v>
      </c>
      <c r="C1986">
        <v>8569</v>
      </c>
      <c r="D1986">
        <v>8536</v>
      </c>
      <c r="E1986">
        <v>8556</v>
      </c>
      <c r="F1986">
        <v>8519.6</v>
      </c>
    </row>
    <row r="1987" spans="1:6" x14ac:dyDescent="0.25">
      <c r="A1987" s="1">
        <v>41690</v>
      </c>
      <c r="B1987">
        <v>8525</v>
      </c>
      <c r="C1987">
        <v>8548</v>
      </c>
      <c r="D1987">
        <v>8483</v>
      </c>
      <c r="E1987">
        <v>8483</v>
      </c>
      <c r="F1987">
        <v>8527.4</v>
      </c>
    </row>
    <row r="1988" spans="1:6" x14ac:dyDescent="0.25">
      <c r="A1988" s="1">
        <v>41691</v>
      </c>
      <c r="B1988">
        <v>8550</v>
      </c>
      <c r="C1988">
        <v>8598</v>
      </c>
      <c r="D1988">
        <v>8548</v>
      </c>
      <c r="E1988">
        <v>8588</v>
      </c>
      <c r="F1988">
        <v>8543.6</v>
      </c>
    </row>
    <row r="1989" spans="1:6" x14ac:dyDescent="0.25">
      <c r="A1989" s="1">
        <v>41694</v>
      </c>
      <c r="B1989">
        <v>8591</v>
      </c>
      <c r="C1989">
        <v>8605</v>
      </c>
      <c r="D1989">
        <v>8534</v>
      </c>
      <c r="E1989">
        <v>8550</v>
      </c>
      <c r="F1989">
        <v>8548</v>
      </c>
    </row>
    <row r="1990" spans="1:6" x14ac:dyDescent="0.25">
      <c r="A1990" s="1">
        <v>41695</v>
      </c>
      <c r="B1990">
        <v>8596</v>
      </c>
      <c r="C1990">
        <v>8609</v>
      </c>
      <c r="D1990">
        <v>8565</v>
      </c>
      <c r="E1990">
        <v>8572</v>
      </c>
      <c r="F1990">
        <v>8549.7999999999993</v>
      </c>
    </row>
    <row r="1991" spans="1:6" x14ac:dyDescent="0.25">
      <c r="A1991" s="1">
        <v>41696</v>
      </c>
      <c r="B1991">
        <v>8563</v>
      </c>
      <c r="C1991">
        <v>8627</v>
      </c>
      <c r="D1991">
        <v>8553</v>
      </c>
      <c r="E1991">
        <v>8608</v>
      </c>
      <c r="F1991">
        <v>8560.2000000000007</v>
      </c>
    </row>
    <row r="1992" spans="1:6" x14ac:dyDescent="0.25">
      <c r="A1992" s="1">
        <v>41697</v>
      </c>
      <c r="B1992">
        <v>8606</v>
      </c>
      <c r="C1992">
        <v>8632</v>
      </c>
      <c r="D1992">
        <v>8602</v>
      </c>
      <c r="E1992">
        <v>8626</v>
      </c>
      <c r="F1992">
        <v>8588.7999999999993</v>
      </c>
    </row>
    <row r="1993" spans="1:6" x14ac:dyDescent="0.25">
      <c r="A1993" s="1">
        <v>41701</v>
      </c>
      <c r="B1993">
        <v>8567</v>
      </c>
      <c r="C1993">
        <v>8580</v>
      </c>
      <c r="D1993">
        <v>8510</v>
      </c>
      <c r="E1993">
        <v>8566</v>
      </c>
      <c r="F1993">
        <v>8584.4</v>
      </c>
    </row>
    <row r="1994" spans="1:6" x14ac:dyDescent="0.25">
      <c r="A1994" s="1">
        <v>41702</v>
      </c>
      <c r="B1994">
        <v>8552</v>
      </c>
      <c r="C1994">
        <v>8582</v>
      </c>
      <c r="D1994">
        <v>8539</v>
      </c>
      <c r="E1994">
        <v>8555</v>
      </c>
      <c r="F1994">
        <v>8585.4</v>
      </c>
    </row>
    <row r="1995" spans="1:6" x14ac:dyDescent="0.25">
      <c r="A1995" s="1">
        <v>41703</v>
      </c>
      <c r="B1995">
        <v>8638</v>
      </c>
      <c r="C1995">
        <v>8647</v>
      </c>
      <c r="D1995">
        <v>8610</v>
      </c>
      <c r="E1995">
        <v>8620</v>
      </c>
      <c r="F1995">
        <v>8595</v>
      </c>
    </row>
    <row r="1996" spans="1:6" x14ac:dyDescent="0.25">
      <c r="A1996" s="1">
        <v>41704</v>
      </c>
      <c r="B1996">
        <v>8623</v>
      </c>
      <c r="C1996">
        <v>8708</v>
      </c>
      <c r="D1996">
        <v>8619</v>
      </c>
      <c r="E1996">
        <v>8695</v>
      </c>
      <c r="F1996">
        <v>8612.4</v>
      </c>
    </row>
    <row r="1997" spans="1:6" x14ac:dyDescent="0.25">
      <c r="A1997" s="1">
        <v>41705</v>
      </c>
      <c r="B1997">
        <v>8730</v>
      </c>
      <c r="C1997">
        <v>8772</v>
      </c>
      <c r="D1997">
        <v>8677</v>
      </c>
      <c r="E1997">
        <v>8705</v>
      </c>
      <c r="F1997">
        <v>8628.2000000000007</v>
      </c>
    </row>
    <row r="1998" spans="1:6" x14ac:dyDescent="0.25">
      <c r="A1998" s="1">
        <v>41708</v>
      </c>
      <c r="B1998">
        <v>8676</v>
      </c>
      <c r="C1998">
        <v>8694</v>
      </c>
      <c r="D1998">
        <v>8654</v>
      </c>
      <c r="E1998">
        <v>8676</v>
      </c>
      <c r="F1998">
        <v>8650.2000000000007</v>
      </c>
    </row>
    <row r="1999" spans="1:6" x14ac:dyDescent="0.25">
      <c r="A1999" s="1">
        <v>41709</v>
      </c>
      <c r="B1999">
        <v>8682</v>
      </c>
      <c r="C1999">
        <v>8723</v>
      </c>
      <c r="D1999">
        <v>8678</v>
      </c>
      <c r="E1999">
        <v>8715</v>
      </c>
      <c r="F1999">
        <v>8682.2000000000007</v>
      </c>
    </row>
    <row r="2000" spans="1:6" x14ac:dyDescent="0.25">
      <c r="A2000" s="1">
        <v>41710</v>
      </c>
      <c r="B2000">
        <v>8680</v>
      </c>
      <c r="C2000">
        <v>8680</v>
      </c>
      <c r="D2000">
        <v>8645</v>
      </c>
      <c r="E2000">
        <v>8659</v>
      </c>
      <c r="F2000">
        <v>8690</v>
      </c>
    </row>
    <row r="2001" spans="1:6" x14ac:dyDescent="0.25">
      <c r="A2001" s="1">
        <v>41711</v>
      </c>
      <c r="B2001">
        <v>8689</v>
      </c>
      <c r="C2001">
        <v>8756</v>
      </c>
      <c r="D2001">
        <v>8688</v>
      </c>
      <c r="E2001">
        <v>8743</v>
      </c>
      <c r="F2001">
        <v>8699.6</v>
      </c>
    </row>
    <row r="2002" spans="1:6" x14ac:dyDescent="0.25">
      <c r="A2002" s="1">
        <v>41712</v>
      </c>
      <c r="B2002">
        <v>8683</v>
      </c>
      <c r="C2002">
        <v>8701</v>
      </c>
      <c r="D2002">
        <v>8670</v>
      </c>
      <c r="E2002">
        <v>8694</v>
      </c>
      <c r="F2002">
        <v>8697.4</v>
      </c>
    </row>
    <row r="2003" spans="1:6" x14ac:dyDescent="0.25">
      <c r="A2003" s="1">
        <v>41715</v>
      </c>
      <c r="B2003">
        <v>8698</v>
      </c>
      <c r="C2003">
        <v>8715</v>
      </c>
      <c r="D2003">
        <v>8655</v>
      </c>
      <c r="E2003">
        <v>8700</v>
      </c>
      <c r="F2003">
        <v>8702.2000000000007</v>
      </c>
    </row>
    <row r="2004" spans="1:6" x14ac:dyDescent="0.25">
      <c r="A2004" s="1">
        <v>41716</v>
      </c>
      <c r="B2004">
        <v>8750</v>
      </c>
      <c r="C2004">
        <v>8752</v>
      </c>
      <c r="D2004">
        <v>8713</v>
      </c>
      <c r="E2004">
        <v>8728</v>
      </c>
      <c r="F2004">
        <v>8704.7999999999993</v>
      </c>
    </row>
    <row r="2005" spans="1:6" x14ac:dyDescent="0.25">
      <c r="A2005" s="1">
        <v>41717</v>
      </c>
      <c r="B2005">
        <v>8741</v>
      </c>
      <c r="C2005">
        <v>8742</v>
      </c>
      <c r="D2005">
        <v>8685</v>
      </c>
      <c r="E2005">
        <v>8697</v>
      </c>
      <c r="F2005">
        <v>8712.4</v>
      </c>
    </row>
    <row r="2006" spans="1:6" x14ac:dyDescent="0.25">
      <c r="A2006" s="1">
        <v>41718</v>
      </c>
      <c r="B2006">
        <v>8628</v>
      </c>
      <c r="C2006">
        <v>8638</v>
      </c>
      <c r="D2006">
        <v>8561</v>
      </c>
      <c r="E2006">
        <v>8567</v>
      </c>
      <c r="F2006">
        <v>8677.2000000000007</v>
      </c>
    </row>
    <row r="2007" spans="1:6" x14ac:dyDescent="0.25">
      <c r="A2007" s="1">
        <v>41719</v>
      </c>
      <c r="B2007">
        <v>8586</v>
      </c>
      <c r="C2007">
        <v>8598</v>
      </c>
      <c r="D2007">
        <v>8558</v>
      </c>
      <c r="E2007">
        <v>8575</v>
      </c>
      <c r="F2007">
        <v>8653.4</v>
      </c>
    </row>
    <row r="2008" spans="1:6" x14ac:dyDescent="0.25">
      <c r="A2008" s="1">
        <v>41722</v>
      </c>
      <c r="B2008">
        <v>8573</v>
      </c>
      <c r="C2008">
        <v>8605</v>
      </c>
      <c r="D2008">
        <v>8523</v>
      </c>
      <c r="E2008">
        <v>8602</v>
      </c>
      <c r="F2008">
        <v>8633.7999999999993</v>
      </c>
    </row>
    <row r="2009" spans="1:6" x14ac:dyDescent="0.25">
      <c r="A2009" s="1">
        <v>41723</v>
      </c>
      <c r="B2009">
        <v>8590</v>
      </c>
      <c r="C2009">
        <v>8660</v>
      </c>
      <c r="D2009">
        <v>8576</v>
      </c>
      <c r="E2009">
        <v>8659</v>
      </c>
      <c r="F2009">
        <v>8620</v>
      </c>
    </row>
    <row r="2010" spans="1:6" x14ac:dyDescent="0.25">
      <c r="A2010" s="1">
        <v>41724</v>
      </c>
      <c r="B2010">
        <v>8707</v>
      </c>
      <c r="C2010">
        <v>8722</v>
      </c>
      <c r="D2010">
        <v>8682</v>
      </c>
      <c r="E2010">
        <v>8712</v>
      </c>
      <c r="F2010">
        <v>8623</v>
      </c>
    </row>
    <row r="2011" spans="1:6" x14ac:dyDescent="0.25">
      <c r="A2011" s="1">
        <v>41725</v>
      </c>
      <c r="B2011">
        <v>8702</v>
      </c>
      <c r="C2011">
        <v>8756</v>
      </c>
      <c r="D2011">
        <v>8695</v>
      </c>
      <c r="E2011">
        <v>8755</v>
      </c>
      <c r="F2011">
        <v>8660.6</v>
      </c>
    </row>
    <row r="2012" spans="1:6" x14ac:dyDescent="0.25">
      <c r="A2012" s="1">
        <v>41726</v>
      </c>
      <c r="B2012">
        <v>8759</v>
      </c>
      <c r="C2012">
        <v>8775</v>
      </c>
      <c r="D2012">
        <v>8729</v>
      </c>
      <c r="E2012">
        <v>8736</v>
      </c>
      <c r="F2012">
        <v>8692.7999999999993</v>
      </c>
    </row>
    <row r="2013" spans="1:6" x14ac:dyDescent="0.25">
      <c r="A2013" s="1">
        <v>41729</v>
      </c>
      <c r="B2013">
        <v>8772</v>
      </c>
      <c r="C2013">
        <v>8794</v>
      </c>
      <c r="D2013">
        <v>8734</v>
      </c>
      <c r="E2013">
        <v>8790</v>
      </c>
      <c r="F2013">
        <v>8730.4</v>
      </c>
    </row>
    <row r="2014" spans="1:6" x14ac:dyDescent="0.25">
      <c r="A2014" s="1">
        <v>41730</v>
      </c>
      <c r="B2014">
        <v>8787</v>
      </c>
      <c r="C2014">
        <v>8833</v>
      </c>
      <c r="D2014">
        <v>8772</v>
      </c>
      <c r="E2014">
        <v>8829</v>
      </c>
      <c r="F2014">
        <v>8764.4</v>
      </c>
    </row>
    <row r="2015" spans="1:6" x14ac:dyDescent="0.25">
      <c r="A2015" s="1">
        <v>41731</v>
      </c>
      <c r="B2015">
        <v>8843</v>
      </c>
      <c r="C2015">
        <v>8888</v>
      </c>
      <c r="D2015">
        <v>8841</v>
      </c>
      <c r="E2015">
        <v>8854</v>
      </c>
      <c r="F2015">
        <v>8792.7999999999993</v>
      </c>
    </row>
    <row r="2016" spans="1:6" x14ac:dyDescent="0.25">
      <c r="A2016" s="1">
        <v>41732</v>
      </c>
      <c r="B2016">
        <v>8864</v>
      </c>
      <c r="C2016">
        <v>8878</v>
      </c>
      <c r="D2016">
        <v>8845</v>
      </c>
      <c r="E2016">
        <v>8868</v>
      </c>
      <c r="F2016">
        <v>8815.4</v>
      </c>
    </row>
    <row r="2017" spans="1:6" x14ac:dyDescent="0.25">
      <c r="A2017" s="1">
        <v>41736</v>
      </c>
      <c r="B2017">
        <v>8820</v>
      </c>
      <c r="C2017">
        <v>8860</v>
      </c>
      <c r="D2017">
        <v>8803</v>
      </c>
      <c r="E2017">
        <v>8859</v>
      </c>
      <c r="F2017">
        <v>8840</v>
      </c>
    </row>
    <row r="2018" spans="1:6" x14ac:dyDescent="0.25">
      <c r="A2018" s="1">
        <v>41737</v>
      </c>
      <c r="B2018">
        <v>8846</v>
      </c>
      <c r="C2018">
        <v>8887</v>
      </c>
      <c r="D2018">
        <v>8836</v>
      </c>
      <c r="E2018">
        <v>8880</v>
      </c>
      <c r="F2018">
        <v>8858</v>
      </c>
    </row>
    <row r="2019" spans="1:6" x14ac:dyDescent="0.25">
      <c r="A2019" s="1">
        <v>41738</v>
      </c>
      <c r="B2019">
        <v>8889</v>
      </c>
      <c r="C2019">
        <v>8903</v>
      </c>
      <c r="D2019">
        <v>8878</v>
      </c>
      <c r="E2019">
        <v>8896</v>
      </c>
      <c r="F2019">
        <v>8871.4</v>
      </c>
    </row>
    <row r="2020" spans="1:6" x14ac:dyDescent="0.25">
      <c r="A2020" s="1">
        <v>41739</v>
      </c>
      <c r="B2020">
        <v>8925</v>
      </c>
      <c r="C2020">
        <v>8938</v>
      </c>
      <c r="D2020">
        <v>8865</v>
      </c>
      <c r="E2020">
        <v>8908</v>
      </c>
      <c r="F2020">
        <v>8882.2000000000007</v>
      </c>
    </row>
    <row r="2021" spans="1:6" x14ac:dyDescent="0.25">
      <c r="A2021" s="1">
        <v>41740</v>
      </c>
      <c r="B2021">
        <v>8850</v>
      </c>
      <c r="C2021">
        <v>8892</v>
      </c>
      <c r="D2021">
        <v>8840</v>
      </c>
      <c r="E2021">
        <v>8870</v>
      </c>
      <c r="F2021">
        <v>8882.6</v>
      </c>
    </row>
    <row r="2022" spans="1:6" x14ac:dyDescent="0.25">
      <c r="A2022" s="1">
        <v>41743</v>
      </c>
      <c r="B2022">
        <v>8860</v>
      </c>
      <c r="C2022">
        <v>8885</v>
      </c>
      <c r="D2022">
        <v>8853</v>
      </c>
      <c r="E2022">
        <v>8858</v>
      </c>
      <c r="F2022">
        <v>8882.4</v>
      </c>
    </row>
    <row r="2023" spans="1:6" x14ac:dyDescent="0.25">
      <c r="A2023" s="1">
        <v>41744</v>
      </c>
      <c r="B2023">
        <v>8869</v>
      </c>
      <c r="C2023">
        <v>8902</v>
      </c>
      <c r="D2023">
        <v>8860</v>
      </c>
      <c r="E2023">
        <v>8897</v>
      </c>
      <c r="F2023">
        <v>8885.7999999999993</v>
      </c>
    </row>
    <row r="2024" spans="1:6" x14ac:dyDescent="0.25">
      <c r="A2024" s="1">
        <v>41745</v>
      </c>
      <c r="B2024">
        <v>8910</v>
      </c>
      <c r="C2024">
        <v>8957</v>
      </c>
      <c r="D2024">
        <v>8886</v>
      </c>
      <c r="E2024">
        <v>8956</v>
      </c>
      <c r="F2024">
        <v>8897.7999999999993</v>
      </c>
    </row>
    <row r="2025" spans="1:6" x14ac:dyDescent="0.25">
      <c r="A2025" s="1">
        <v>41746</v>
      </c>
      <c r="B2025">
        <v>8887</v>
      </c>
      <c r="C2025">
        <v>8910</v>
      </c>
      <c r="D2025">
        <v>8872</v>
      </c>
      <c r="E2025">
        <v>8894</v>
      </c>
      <c r="F2025">
        <v>8895</v>
      </c>
    </row>
    <row r="2026" spans="1:6" x14ac:dyDescent="0.25">
      <c r="A2026" s="1">
        <v>41747</v>
      </c>
      <c r="B2026">
        <v>8952</v>
      </c>
      <c r="C2026">
        <v>8971</v>
      </c>
      <c r="D2026">
        <v>8916</v>
      </c>
      <c r="E2026">
        <v>8918</v>
      </c>
      <c r="F2026">
        <v>8904.6</v>
      </c>
    </row>
    <row r="2027" spans="1:6" x14ac:dyDescent="0.25">
      <c r="A2027" s="1">
        <v>41750</v>
      </c>
      <c r="B2027">
        <v>8920</v>
      </c>
      <c r="C2027">
        <v>8926</v>
      </c>
      <c r="D2027">
        <v>8903</v>
      </c>
      <c r="E2027">
        <v>8923</v>
      </c>
      <c r="F2027">
        <v>8917.6</v>
      </c>
    </row>
    <row r="2028" spans="1:6" x14ac:dyDescent="0.25">
      <c r="A2028" s="1">
        <v>41751</v>
      </c>
      <c r="B2028">
        <v>8922</v>
      </c>
      <c r="C2028">
        <v>8962</v>
      </c>
      <c r="D2028">
        <v>8916</v>
      </c>
      <c r="E2028">
        <v>8951</v>
      </c>
      <c r="F2028">
        <v>8928.4</v>
      </c>
    </row>
    <row r="2029" spans="1:6" x14ac:dyDescent="0.25">
      <c r="A2029" s="1">
        <v>41752</v>
      </c>
      <c r="B2029">
        <v>8971</v>
      </c>
      <c r="C2029">
        <v>8980</v>
      </c>
      <c r="D2029">
        <v>8910</v>
      </c>
      <c r="E2029">
        <v>8922</v>
      </c>
      <c r="F2029">
        <v>8921.6</v>
      </c>
    </row>
    <row r="2030" spans="1:6" x14ac:dyDescent="0.25">
      <c r="A2030" s="1">
        <v>41753</v>
      </c>
      <c r="B2030">
        <v>8925</v>
      </c>
      <c r="C2030">
        <v>8942</v>
      </c>
      <c r="D2030">
        <v>8915</v>
      </c>
      <c r="E2030">
        <v>8936</v>
      </c>
      <c r="F2030">
        <v>8930</v>
      </c>
    </row>
    <row r="2031" spans="1:6" x14ac:dyDescent="0.25">
      <c r="A2031" s="1">
        <v>41754</v>
      </c>
      <c r="B2031">
        <v>8921</v>
      </c>
      <c r="C2031">
        <v>8928</v>
      </c>
      <c r="D2031">
        <v>8743</v>
      </c>
      <c r="E2031">
        <v>8750</v>
      </c>
      <c r="F2031">
        <v>8896.4</v>
      </c>
    </row>
    <row r="2032" spans="1:6" x14ac:dyDescent="0.25">
      <c r="A2032" s="1">
        <v>41757</v>
      </c>
      <c r="B2032">
        <v>8695</v>
      </c>
      <c r="C2032">
        <v>8835</v>
      </c>
      <c r="D2032">
        <v>8690</v>
      </c>
      <c r="E2032">
        <v>8819</v>
      </c>
      <c r="F2032">
        <v>8875.6</v>
      </c>
    </row>
    <row r="2033" spans="1:6" x14ac:dyDescent="0.25">
      <c r="A2033" s="1">
        <v>41758</v>
      </c>
      <c r="B2033">
        <v>8828</v>
      </c>
      <c r="C2033">
        <v>8855</v>
      </c>
      <c r="D2033">
        <v>8808</v>
      </c>
      <c r="E2033">
        <v>8839</v>
      </c>
      <c r="F2033">
        <v>8853.2000000000007</v>
      </c>
    </row>
    <row r="2034" spans="1:6" x14ac:dyDescent="0.25">
      <c r="A2034" s="1">
        <v>41759</v>
      </c>
      <c r="B2034">
        <v>8857</v>
      </c>
      <c r="C2034">
        <v>8858</v>
      </c>
      <c r="D2034">
        <v>8750</v>
      </c>
      <c r="E2034">
        <v>8755</v>
      </c>
      <c r="F2034">
        <v>8819.7999999999993</v>
      </c>
    </row>
    <row r="2035" spans="1:6" x14ac:dyDescent="0.25">
      <c r="A2035" s="1">
        <v>41761</v>
      </c>
      <c r="B2035">
        <v>8758</v>
      </c>
      <c r="C2035">
        <v>8845</v>
      </c>
      <c r="D2035">
        <v>8758</v>
      </c>
      <c r="E2035">
        <v>8840</v>
      </c>
      <c r="F2035">
        <v>8800.6</v>
      </c>
    </row>
    <row r="2036" spans="1:6" x14ac:dyDescent="0.25">
      <c r="A2036" s="1">
        <v>41764</v>
      </c>
      <c r="B2036">
        <v>8861</v>
      </c>
      <c r="C2036">
        <v>8888</v>
      </c>
      <c r="D2036">
        <v>8802</v>
      </c>
      <c r="E2036">
        <v>8829</v>
      </c>
      <c r="F2036">
        <v>8816.4</v>
      </c>
    </row>
    <row r="2037" spans="1:6" x14ac:dyDescent="0.25">
      <c r="A2037" s="1">
        <v>41765</v>
      </c>
      <c r="B2037">
        <v>8835</v>
      </c>
      <c r="C2037">
        <v>8889</v>
      </c>
      <c r="D2037">
        <v>8812</v>
      </c>
      <c r="E2037">
        <v>8885</v>
      </c>
      <c r="F2037">
        <v>8829.6</v>
      </c>
    </row>
    <row r="2038" spans="1:6" x14ac:dyDescent="0.25">
      <c r="A2038" s="1">
        <v>41766</v>
      </c>
      <c r="B2038">
        <v>8846</v>
      </c>
      <c r="C2038">
        <v>8861</v>
      </c>
      <c r="D2038">
        <v>8810</v>
      </c>
      <c r="E2038">
        <v>8839</v>
      </c>
      <c r="F2038">
        <v>8829.6</v>
      </c>
    </row>
    <row r="2039" spans="1:6" x14ac:dyDescent="0.25">
      <c r="A2039" s="1">
        <v>41767</v>
      </c>
      <c r="B2039">
        <v>8859</v>
      </c>
      <c r="C2039">
        <v>8887</v>
      </c>
      <c r="D2039">
        <v>8836</v>
      </c>
      <c r="E2039">
        <v>8881</v>
      </c>
      <c r="F2039">
        <v>8854.7999999999993</v>
      </c>
    </row>
    <row r="2040" spans="1:6" x14ac:dyDescent="0.25">
      <c r="A2040" s="1">
        <v>41768</v>
      </c>
      <c r="B2040">
        <v>8886</v>
      </c>
      <c r="C2040">
        <v>8890</v>
      </c>
      <c r="D2040">
        <v>8833</v>
      </c>
      <c r="E2040">
        <v>8841</v>
      </c>
      <c r="F2040">
        <v>8855</v>
      </c>
    </row>
    <row r="2041" spans="1:6" x14ac:dyDescent="0.25">
      <c r="A2041" s="1">
        <v>41771</v>
      </c>
      <c r="B2041">
        <v>8854</v>
      </c>
      <c r="C2041">
        <v>8854</v>
      </c>
      <c r="D2041">
        <v>8790</v>
      </c>
      <c r="E2041">
        <v>8823</v>
      </c>
      <c r="F2041">
        <v>8853.7999999999993</v>
      </c>
    </row>
    <row r="2042" spans="1:6" x14ac:dyDescent="0.25">
      <c r="A2042" s="1">
        <v>41772</v>
      </c>
      <c r="B2042">
        <v>8855</v>
      </c>
      <c r="C2042">
        <v>8875</v>
      </c>
      <c r="D2042">
        <v>8821</v>
      </c>
      <c r="E2042">
        <v>8829</v>
      </c>
      <c r="F2042">
        <v>8842.6</v>
      </c>
    </row>
    <row r="2043" spans="1:6" x14ac:dyDescent="0.25">
      <c r="A2043" s="1">
        <v>41773</v>
      </c>
      <c r="B2043">
        <v>8851</v>
      </c>
      <c r="C2043">
        <v>8886</v>
      </c>
      <c r="D2043">
        <v>8830</v>
      </c>
      <c r="E2043">
        <v>8885</v>
      </c>
      <c r="F2043">
        <v>8851.7999999999993</v>
      </c>
    </row>
    <row r="2044" spans="1:6" x14ac:dyDescent="0.25">
      <c r="A2044" s="1">
        <v>41774</v>
      </c>
      <c r="B2044">
        <v>8868</v>
      </c>
      <c r="C2044">
        <v>8887</v>
      </c>
      <c r="D2044">
        <v>8857</v>
      </c>
      <c r="E2044">
        <v>8877</v>
      </c>
      <c r="F2044">
        <v>8851</v>
      </c>
    </row>
    <row r="2045" spans="1:6" x14ac:dyDescent="0.25">
      <c r="A2045" s="1">
        <v>41775</v>
      </c>
      <c r="B2045">
        <v>8841</v>
      </c>
      <c r="C2045">
        <v>8883</v>
      </c>
      <c r="D2045">
        <v>8816</v>
      </c>
      <c r="E2045">
        <v>8879</v>
      </c>
      <c r="F2045">
        <v>8858.6</v>
      </c>
    </row>
    <row r="2046" spans="1:6" x14ac:dyDescent="0.25">
      <c r="A2046" s="1">
        <v>41778</v>
      </c>
      <c r="B2046">
        <v>8878</v>
      </c>
      <c r="C2046">
        <v>8901</v>
      </c>
      <c r="D2046">
        <v>8870</v>
      </c>
      <c r="E2046">
        <v>8888</v>
      </c>
      <c r="F2046">
        <v>8871.6</v>
      </c>
    </row>
    <row r="2047" spans="1:6" x14ac:dyDescent="0.25">
      <c r="A2047" s="1">
        <v>41779</v>
      </c>
      <c r="B2047">
        <v>8901</v>
      </c>
      <c r="C2047">
        <v>8926</v>
      </c>
      <c r="D2047">
        <v>8890</v>
      </c>
      <c r="E2047">
        <v>8896</v>
      </c>
      <c r="F2047">
        <v>8885</v>
      </c>
    </row>
    <row r="2048" spans="1:6" x14ac:dyDescent="0.25">
      <c r="A2048" s="1">
        <v>41780</v>
      </c>
      <c r="B2048">
        <v>8896</v>
      </c>
      <c r="C2048">
        <v>8909</v>
      </c>
      <c r="D2048">
        <v>8850</v>
      </c>
      <c r="E2048">
        <v>8860</v>
      </c>
      <c r="F2048">
        <v>8880</v>
      </c>
    </row>
    <row r="2049" spans="1:6" x14ac:dyDescent="0.25">
      <c r="A2049" s="1">
        <v>41781</v>
      </c>
      <c r="B2049">
        <v>8873</v>
      </c>
      <c r="C2049">
        <v>8959</v>
      </c>
      <c r="D2049">
        <v>8865</v>
      </c>
      <c r="E2049">
        <v>8958</v>
      </c>
      <c r="F2049">
        <v>8896.2000000000007</v>
      </c>
    </row>
    <row r="2050" spans="1:6" x14ac:dyDescent="0.25">
      <c r="A2050" s="1">
        <v>41782</v>
      </c>
      <c r="B2050">
        <v>8973</v>
      </c>
      <c r="C2050">
        <v>9014</v>
      </c>
      <c r="D2050">
        <v>8966</v>
      </c>
      <c r="E2050">
        <v>9014</v>
      </c>
      <c r="F2050">
        <v>8923.2000000000007</v>
      </c>
    </row>
    <row r="2051" spans="1:6" x14ac:dyDescent="0.25">
      <c r="A2051" s="1">
        <v>41785</v>
      </c>
      <c r="B2051">
        <v>9022</v>
      </c>
      <c r="C2051">
        <v>9049</v>
      </c>
      <c r="D2051">
        <v>9009</v>
      </c>
      <c r="E2051">
        <v>9041</v>
      </c>
      <c r="F2051">
        <v>8953.7999999999993</v>
      </c>
    </row>
    <row r="2052" spans="1:6" x14ac:dyDescent="0.25">
      <c r="A2052" s="1">
        <v>41786</v>
      </c>
      <c r="B2052">
        <v>9044</v>
      </c>
      <c r="C2052">
        <v>9059</v>
      </c>
      <c r="D2052">
        <v>9024</v>
      </c>
      <c r="E2052">
        <v>9057</v>
      </c>
      <c r="F2052">
        <v>8986</v>
      </c>
    </row>
    <row r="2053" spans="1:6" x14ac:dyDescent="0.25">
      <c r="A2053" s="1">
        <v>41787</v>
      </c>
      <c r="B2053">
        <v>9062</v>
      </c>
      <c r="C2053">
        <v>9144</v>
      </c>
      <c r="D2053">
        <v>9055</v>
      </c>
      <c r="E2053">
        <v>9135</v>
      </c>
      <c r="F2053">
        <v>9041</v>
      </c>
    </row>
    <row r="2054" spans="1:6" x14ac:dyDescent="0.25">
      <c r="A2054" s="1">
        <v>41788</v>
      </c>
      <c r="B2054">
        <v>9134</v>
      </c>
      <c r="C2054">
        <v>9149</v>
      </c>
      <c r="D2054">
        <v>9111</v>
      </c>
      <c r="E2054">
        <v>9115</v>
      </c>
      <c r="F2054">
        <v>9072.4</v>
      </c>
    </row>
    <row r="2055" spans="1:6" x14ac:dyDescent="0.25">
      <c r="A2055" s="1">
        <v>41789</v>
      </c>
      <c r="B2055">
        <v>9118</v>
      </c>
      <c r="C2055">
        <v>9130</v>
      </c>
      <c r="D2055">
        <v>9086</v>
      </c>
      <c r="E2055">
        <v>9092</v>
      </c>
      <c r="F2055">
        <v>9088</v>
      </c>
    </row>
    <row r="2056" spans="1:6" x14ac:dyDescent="0.25">
      <c r="A2056" s="1">
        <v>41793</v>
      </c>
      <c r="B2056">
        <v>9112</v>
      </c>
      <c r="C2056">
        <v>9133</v>
      </c>
      <c r="D2056">
        <v>9061</v>
      </c>
      <c r="E2056">
        <v>9107</v>
      </c>
      <c r="F2056">
        <v>9101.2000000000007</v>
      </c>
    </row>
    <row r="2057" spans="1:6" x14ac:dyDescent="0.25">
      <c r="A2057" s="1">
        <v>41794</v>
      </c>
      <c r="B2057">
        <v>9118</v>
      </c>
      <c r="C2057">
        <v>9124</v>
      </c>
      <c r="D2057">
        <v>9097</v>
      </c>
      <c r="E2057">
        <v>9104</v>
      </c>
      <c r="F2057">
        <v>9110.6</v>
      </c>
    </row>
    <row r="2058" spans="1:6" x14ac:dyDescent="0.25">
      <c r="A2058" s="1">
        <v>41795</v>
      </c>
      <c r="B2058">
        <v>9115</v>
      </c>
      <c r="C2058">
        <v>9119</v>
      </c>
      <c r="D2058">
        <v>9074</v>
      </c>
      <c r="E2058">
        <v>9118</v>
      </c>
      <c r="F2058">
        <v>9107.2000000000007</v>
      </c>
    </row>
    <row r="2059" spans="1:6" x14ac:dyDescent="0.25">
      <c r="A2059" s="1">
        <v>41796</v>
      </c>
      <c r="B2059">
        <v>9139</v>
      </c>
      <c r="C2059">
        <v>9158</v>
      </c>
      <c r="D2059">
        <v>9120</v>
      </c>
      <c r="E2059">
        <v>9126</v>
      </c>
      <c r="F2059">
        <v>9109.4</v>
      </c>
    </row>
    <row r="2060" spans="1:6" x14ac:dyDescent="0.25">
      <c r="A2060" s="1">
        <v>41799</v>
      </c>
      <c r="B2060">
        <v>9142</v>
      </c>
      <c r="C2060">
        <v>9155</v>
      </c>
      <c r="D2060">
        <v>9129</v>
      </c>
      <c r="E2060">
        <v>9146</v>
      </c>
      <c r="F2060">
        <v>9120.2000000000007</v>
      </c>
    </row>
    <row r="2061" spans="1:6" x14ac:dyDescent="0.25">
      <c r="A2061" s="1">
        <v>41800</v>
      </c>
      <c r="B2061">
        <v>9158</v>
      </c>
      <c r="C2061">
        <v>9202</v>
      </c>
      <c r="D2061">
        <v>9155</v>
      </c>
      <c r="E2061">
        <v>9185</v>
      </c>
      <c r="F2061">
        <v>9135.7999999999993</v>
      </c>
    </row>
    <row r="2062" spans="1:6" x14ac:dyDescent="0.25">
      <c r="A2062" s="1">
        <v>41801</v>
      </c>
      <c r="B2062">
        <v>9193</v>
      </c>
      <c r="C2062">
        <v>9212</v>
      </c>
      <c r="D2062">
        <v>9182</v>
      </c>
      <c r="E2062">
        <v>9210</v>
      </c>
      <c r="F2062">
        <v>9157</v>
      </c>
    </row>
    <row r="2063" spans="1:6" x14ac:dyDescent="0.25">
      <c r="A2063" s="1">
        <v>41802</v>
      </c>
      <c r="B2063">
        <v>9194</v>
      </c>
      <c r="C2063">
        <v>9215</v>
      </c>
      <c r="D2063">
        <v>9181</v>
      </c>
      <c r="E2063">
        <v>9203</v>
      </c>
      <c r="F2063">
        <v>9174</v>
      </c>
    </row>
    <row r="2064" spans="1:6" x14ac:dyDescent="0.25">
      <c r="A2064" s="1">
        <v>41803</v>
      </c>
      <c r="B2064">
        <v>9172</v>
      </c>
      <c r="C2064">
        <v>9198</v>
      </c>
      <c r="D2064">
        <v>9156</v>
      </c>
      <c r="E2064">
        <v>9198</v>
      </c>
      <c r="F2064">
        <v>9188.4</v>
      </c>
    </row>
    <row r="2065" spans="1:6" x14ac:dyDescent="0.25">
      <c r="A2065" s="1">
        <v>41806</v>
      </c>
      <c r="B2065">
        <v>9182</v>
      </c>
      <c r="C2065">
        <v>9214</v>
      </c>
      <c r="D2065">
        <v>9177</v>
      </c>
      <c r="E2065">
        <v>9202</v>
      </c>
      <c r="F2065">
        <v>9199.6</v>
      </c>
    </row>
    <row r="2066" spans="1:6" x14ac:dyDescent="0.25">
      <c r="A2066" s="1">
        <v>41807</v>
      </c>
      <c r="B2066">
        <v>9207</v>
      </c>
      <c r="C2066">
        <v>9248</v>
      </c>
      <c r="D2066">
        <v>9203</v>
      </c>
      <c r="E2066">
        <v>9243</v>
      </c>
      <c r="F2066">
        <v>9211.2000000000007</v>
      </c>
    </row>
    <row r="2067" spans="1:6" x14ac:dyDescent="0.25">
      <c r="A2067" s="1">
        <v>41808</v>
      </c>
      <c r="B2067">
        <v>9241</v>
      </c>
      <c r="C2067">
        <v>9308</v>
      </c>
      <c r="D2067">
        <v>9208</v>
      </c>
      <c r="E2067">
        <v>9302</v>
      </c>
      <c r="F2067">
        <v>9229.6</v>
      </c>
    </row>
    <row r="2068" spans="1:6" x14ac:dyDescent="0.25">
      <c r="A2068" s="1">
        <v>41809</v>
      </c>
      <c r="B2068">
        <v>9189</v>
      </c>
      <c r="C2068">
        <v>9238</v>
      </c>
      <c r="D2068">
        <v>9181</v>
      </c>
      <c r="E2068">
        <v>9227</v>
      </c>
      <c r="F2068">
        <v>9234.4</v>
      </c>
    </row>
    <row r="2069" spans="1:6" x14ac:dyDescent="0.25">
      <c r="A2069" s="1">
        <v>41810</v>
      </c>
      <c r="B2069">
        <v>9228</v>
      </c>
      <c r="C2069">
        <v>9230</v>
      </c>
      <c r="D2069">
        <v>9178</v>
      </c>
      <c r="E2069">
        <v>9179</v>
      </c>
      <c r="F2069">
        <v>9230.6</v>
      </c>
    </row>
    <row r="2070" spans="1:6" x14ac:dyDescent="0.25">
      <c r="A2070" s="1">
        <v>41813</v>
      </c>
      <c r="B2070">
        <v>9178</v>
      </c>
      <c r="C2070">
        <v>9206</v>
      </c>
      <c r="D2070">
        <v>9150</v>
      </c>
      <c r="E2070">
        <v>9167</v>
      </c>
      <c r="F2070">
        <v>9223.6</v>
      </c>
    </row>
    <row r="2071" spans="1:6" x14ac:dyDescent="0.25">
      <c r="A2071" s="1">
        <v>41814</v>
      </c>
      <c r="B2071">
        <v>9175</v>
      </c>
      <c r="C2071">
        <v>9199</v>
      </c>
      <c r="D2071">
        <v>9165</v>
      </c>
      <c r="E2071">
        <v>9174</v>
      </c>
      <c r="F2071">
        <v>9209.7999999999993</v>
      </c>
    </row>
    <row r="2072" spans="1:6" x14ac:dyDescent="0.25">
      <c r="A2072" s="1">
        <v>41815</v>
      </c>
      <c r="B2072">
        <v>9147</v>
      </c>
      <c r="C2072">
        <v>9170</v>
      </c>
      <c r="D2072">
        <v>9137</v>
      </c>
      <c r="E2072">
        <v>9155</v>
      </c>
      <c r="F2072">
        <v>9180.4</v>
      </c>
    </row>
    <row r="2073" spans="1:6" x14ac:dyDescent="0.25">
      <c r="A2073" s="1">
        <v>41816</v>
      </c>
      <c r="B2073">
        <v>9178</v>
      </c>
      <c r="C2073">
        <v>9236</v>
      </c>
      <c r="D2073">
        <v>9176</v>
      </c>
      <c r="E2073">
        <v>9232</v>
      </c>
      <c r="F2073">
        <v>9181.4</v>
      </c>
    </row>
    <row r="2074" spans="1:6" x14ac:dyDescent="0.25">
      <c r="A2074" s="1">
        <v>41817</v>
      </c>
      <c r="B2074">
        <v>9232</v>
      </c>
      <c r="C2074">
        <v>9243</v>
      </c>
      <c r="D2074">
        <v>9205</v>
      </c>
      <c r="E2074">
        <v>9206</v>
      </c>
      <c r="F2074">
        <v>9186.7999999999993</v>
      </c>
    </row>
    <row r="2075" spans="1:6" x14ac:dyDescent="0.25">
      <c r="A2075" s="1">
        <v>41820</v>
      </c>
      <c r="B2075">
        <v>9219</v>
      </c>
      <c r="C2075">
        <v>9307</v>
      </c>
      <c r="D2075">
        <v>9218</v>
      </c>
      <c r="E2075">
        <v>9291</v>
      </c>
      <c r="F2075">
        <v>9211.6</v>
      </c>
    </row>
    <row r="2076" spans="1:6" x14ac:dyDescent="0.25">
      <c r="A2076" s="1">
        <v>41821</v>
      </c>
      <c r="B2076">
        <v>9299</v>
      </c>
      <c r="C2076">
        <v>9401</v>
      </c>
      <c r="D2076">
        <v>9289</v>
      </c>
      <c r="E2076">
        <v>9382</v>
      </c>
      <c r="F2076">
        <v>9253.2000000000007</v>
      </c>
    </row>
    <row r="2077" spans="1:6" x14ac:dyDescent="0.25">
      <c r="A2077" s="1">
        <v>41822</v>
      </c>
      <c r="B2077">
        <v>9406</v>
      </c>
      <c r="C2077">
        <v>9488</v>
      </c>
      <c r="D2077">
        <v>9310</v>
      </c>
      <c r="E2077">
        <v>9401</v>
      </c>
      <c r="F2077">
        <v>9302.4</v>
      </c>
    </row>
    <row r="2078" spans="1:6" x14ac:dyDescent="0.25">
      <c r="A2078" s="1">
        <v>41823</v>
      </c>
      <c r="B2078">
        <v>9395</v>
      </c>
      <c r="C2078">
        <v>9463</v>
      </c>
      <c r="D2078">
        <v>9367</v>
      </c>
      <c r="E2078">
        <v>9456</v>
      </c>
      <c r="F2078">
        <v>9347.2000000000007</v>
      </c>
    </row>
    <row r="2079" spans="1:6" x14ac:dyDescent="0.25">
      <c r="A2079" s="1">
        <v>41824</v>
      </c>
      <c r="B2079">
        <v>9488</v>
      </c>
      <c r="C2079">
        <v>9494</v>
      </c>
      <c r="D2079">
        <v>9411</v>
      </c>
      <c r="E2079">
        <v>9456</v>
      </c>
      <c r="F2079">
        <v>9397.2000000000007</v>
      </c>
    </row>
    <row r="2080" spans="1:6" x14ac:dyDescent="0.25">
      <c r="A2080" s="1">
        <v>41827</v>
      </c>
      <c r="B2080">
        <v>9438</v>
      </c>
      <c r="C2080">
        <v>9452</v>
      </c>
      <c r="D2080">
        <v>9398</v>
      </c>
      <c r="E2080">
        <v>9450</v>
      </c>
      <c r="F2080">
        <v>9429</v>
      </c>
    </row>
    <row r="2081" spans="1:6" x14ac:dyDescent="0.25">
      <c r="A2081" s="1">
        <v>41828</v>
      </c>
      <c r="B2081">
        <v>9449</v>
      </c>
      <c r="C2081">
        <v>9492</v>
      </c>
      <c r="D2081">
        <v>9440</v>
      </c>
      <c r="E2081">
        <v>9477</v>
      </c>
      <c r="F2081">
        <v>9448</v>
      </c>
    </row>
    <row r="2082" spans="1:6" x14ac:dyDescent="0.25">
      <c r="A2082" s="1">
        <v>41829</v>
      </c>
      <c r="B2082">
        <v>9451</v>
      </c>
      <c r="C2082">
        <v>9477</v>
      </c>
      <c r="D2082">
        <v>9436</v>
      </c>
      <c r="E2082">
        <v>9464</v>
      </c>
      <c r="F2082">
        <v>9460.6</v>
      </c>
    </row>
    <row r="2083" spans="1:6" x14ac:dyDescent="0.25">
      <c r="A2083" s="1">
        <v>41830</v>
      </c>
      <c r="B2083">
        <v>9468</v>
      </c>
      <c r="C2083">
        <v>9555</v>
      </c>
      <c r="D2083">
        <v>9463</v>
      </c>
      <c r="E2083">
        <v>9554</v>
      </c>
      <c r="F2083">
        <v>9480.2000000000007</v>
      </c>
    </row>
    <row r="2084" spans="1:6" x14ac:dyDescent="0.25">
      <c r="A2084" s="1">
        <v>41831</v>
      </c>
      <c r="B2084">
        <v>9538</v>
      </c>
      <c r="C2084">
        <v>9566</v>
      </c>
      <c r="D2084">
        <v>9451</v>
      </c>
      <c r="E2084">
        <v>9488</v>
      </c>
      <c r="F2084">
        <v>9486.6</v>
      </c>
    </row>
    <row r="2085" spans="1:6" x14ac:dyDescent="0.25">
      <c r="A2085" s="1">
        <v>41834</v>
      </c>
      <c r="B2085">
        <v>9480</v>
      </c>
      <c r="C2085">
        <v>9529</v>
      </c>
      <c r="D2085">
        <v>9477</v>
      </c>
      <c r="E2085">
        <v>9525</v>
      </c>
      <c r="F2085">
        <v>9501.6</v>
      </c>
    </row>
    <row r="2086" spans="1:6" x14ac:dyDescent="0.25">
      <c r="A2086" s="1">
        <v>41835</v>
      </c>
      <c r="B2086">
        <v>9575</v>
      </c>
      <c r="C2086">
        <v>9581</v>
      </c>
      <c r="D2086">
        <v>9535</v>
      </c>
      <c r="E2086">
        <v>9561</v>
      </c>
      <c r="F2086">
        <v>9518.4</v>
      </c>
    </row>
    <row r="2087" spans="1:6" x14ac:dyDescent="0.25">
      <c r="A2087" s="1">
        <v>41836</v>
      </c>
      <c r="B2087">
        <v>9546</v>
      </c>
      <c r="C2087">
        <v>9564</v>
      </c>
      <c r="D2087">
        <v>9475</v>
      </c>
      <c r="E2087">
        <v>9484</v>
      </c>
      <c r="F2087">
        <v>9522.4</v>
      </c>
    </row>
    <row r="2088" spans="1:6" x14ac:dyDescent="0.25">
      <c r="A2088" s="1">
        <v>41837</v>
      </c>
      <c r="B2088">
        <v>9393</v>
      </c>
      <c r="C2088">
        <v>9402</v>
      </c>
      <c r="D2088">
        <v>9325</v>
      </c>
      <c r="E2088">
        <v>9356</v>
      </c>
      <c r="F2088">
        <v>9482.7999999999993</v>
      </c>
    </row>
    <row r="2089" spans="1:6" x14ac:dyDescent="0.25">
      <c r="A2089" s="1">
        <v>41838</v>
      </c>
      <c r="B2089">
        <v>9284</v>
      </c>
      <c r="C2089">
        <v>9372</v>
      </c>
      <c r="D2089">
        <v>9281</v>
      </c>
      <c r="E2089">
        <v>9340</v>
      </c>
      <c r="F2089">
        <v>9453.2000000000007</v>
      </c>
    </row>
    <row r="2090" spans="1:6" x14ac:dyDescent="0.25">
      <c r="A2090" s="1">
        <v>41841</v>
      </c>
      <c r="B2090">
        <v>9377</v>
      </c>
      <c r="C2090">
        <v>9407</v>
      </c>
      <c r="D2090">
        <v>9356</v>
      </c>
      <c r="E2090">
        <v>9365</v>
      </c>
      <c r="F2090">
        <v>9421.2000000000007</v>
      </c>
    </row>
    <row r="2091" spans="1:6" x14ac:dyDescent="0.25">
      <c r="A2091" s="1">
        <v>41842</v>
      </c>
      <c r="B2091">
        <v>9385</v>
      </c>
      <c r="C2091">
        <v>9435</v>
      </c>
      <c r="D2091">
        <v>9351</v>
      </c>
      <c r="E2091">
        <v>9433</v>
      </c>
      <c r="F2091">
        <v>9395.6</v>
      </c>
    </row>
    <row r="2092" spans="1:6" x14ac:dyDescent="0.25">
      <c r="A2092" s="1">
        <v>41844</v>
      </c>
      <c r="B2092">
        <v>9460</v>
      </c>
      <c r="C2092">
        <v>9470</v>
      </c>
      <c r="D2092">
        <v>9431</v>
      </c>
      <c r="E2092">
        <v>9467</v>
      </c>
      <c r="F2092">
        <v>9392.2000000000007</v>
      </c>
    </row>
    <row r="2093" spans="1:6" x14ac:dyDescent="0.25">
      <c r="A2093" s="1">
        <v>41845</v>
      </c>
      <c r="B2093">
        <v>9462</v>
      </c>
      <c r="C2093">
        <v>9465</v>
      </c>
      <c r="D2093">
        <v>9358</v>
      </c>
      <c r="E2093">
        <v>9389</v>
      </c>
      <c r="F2093">
        <v>9398.7999999999993</v>
      </c>
    </row>
    <row r="2094" spans="1:6" x14ac:dyDescent="0.25">
      <c r="A2094" s="1">
        <v>41848</v>
      </c>
      <c r="B2094">
        <v>9368</v>
      </c>
      <c r="C2094">
        <v>9424</v>
      </c>
      <c r="D2094">
        <v>9343</v>
      </c>
      <c r="E2094">
        <v>9388</v>
      </c>
      <c r="F2094">
        <v>9408.4</v>
      </c>
    </row>
    <row r="2095" spans="1:6" x14ac:dyDescent="0.25">
      <c r="A2095" s="1">
        <v>41849</v>
      </c>
      <c r="B2095">
        <v>9425</v>
      </c>
      <c r="C2095">
        <v>9446</v>
      </c>
      <c r="D2095">
        <v>9344</v>
      </c>
      <c r="E2095">
        <v>9358</v>
      </c>
      <c r="F2095">
        <v>9407</v>
      </c>
    </row>
    <row r="2096" spans="1:6" x14ac:dyDescent="0.25">
      <c r="A2096" s="1">
        <v>41850</v>
      </c>
      <c r="B2096">
        <v>9365</v>
      </c>
      <c r="C2096">
        <v>9428</v>
      </c>
      <c r="D2096">
        <v>9364</v>
      </c>
      <c r="E2096">
        <v>9416</v>
      </c>
      <c r="F2096">
        <v>9403.6</v>
      </c>
    </row>
    <row r="2097" spans="1:6" x14ac:dyDescent="0.25">
      <c r="A2097" s="1">
        <v>41851</v>
      </c>
      <c r="B2097">
        <v>9433</v>
      </c>
      <c r="C2097">
        <v>9438</v>
      </c>
      <c r="D2097">
        <v>9258</v>
      </c>
      <c r="E2097">
        <v>9292</v>
      </c>
      <c r="F2097">
        <v>9368.6</v>
      </c>
    </row>
    <row r="2098" spans="1:6" x14ac:dyDescent="0.25">
      <c r="A2098" s="1">
        <v>41852</v>
      </c>
      <c r="B2098">
        <v>9230</v>
      </c>
      <c r="C2098">
        <v>9264</v>
      </c>
      <c r="D2098">
        <v>9209</v>
      </c>
      <c r="E2098">
        <v>9252</v>
      </c>
      <c r="F2098">
        <v>9341.2000000000007</v>
      </c>
    </row>
    <row r="2099" spans="1:6" x14ac:dyDescent="0.25">
      <c r="A2099" s="1">
        <v>41855</v>
      </c>
      <c r="B2099">
        <v>9260</v>
      </c>
      <c r="C2099">
        <v>9297</v>
      </c>
      <c r="D2099">
        <v>9233</v>
      </c>
      <c r="E2099">
        <v>9284</v>
      </c>
      <c r="F2099">
        <v>9320.4</v>
      </c>
    </row>
    <row r="2100" spans="1:6" x14ac:dyDescent="0.25">
      <c r="A2100" s="1">
        <v>41856</v>
      </c>
      <c r="B2100">
        <v>9255</v>
      </c>
      <c r="C2100">
        <v>9256</v>
      </c>
      <c r="D2100">
        <v>9083</v>
      </c>
      <c r="E2100">
        <v>9097</v>
      </c>
      <c r="F2100">
        <v>9268.2000000000007</v>
      </c>
    </row>
    <row r="2101" spans="1:6" x14ac:dyDescent="0.25">
      <c r="A2101" s="1">
        <v>41857</v>
      </c>
      <c r="B2101">
        <v>9081</v>
      </c>
      <c r="C2101">
        <v>9129</v>
      </c>
      <c r="D2101">
        <v>9060</v>
      </c>
      <c r="E2101">
        <v>9098</v>
      </c>
      <c r="F2101">
        <v>9204.6</v>
      </c>
    </row>
    <row r="2102" spans="1:6" x14ac:dyDescent="0.25">
      <c r="A2102" s="1">
        <v>41858</v>
      </c>
      <c r="B2102">
        <v>9111</v>
      </c>
      <c r="C2102">
        <v>9134</v>
      </c>
      <c r="D2102">
        <v>9066</v>
      </c>
      <c r="E2102">
        <v>9093</v>
      </c>
      <c r="F2102">
        <v>9164.7999999999993</v>
      </c>
    </row>
    <row r="2103" spans="1:6" x14ac:dyDescent="0.25">
      <c r="A2103" s="1">
        <v>41859</v>
      </c>
      <c r="B2103">
        <v>9052</v>
      </c>
      <c r="C2103">
        <v>9092</v>
      </c>
      <c r="D2103">
        <v>8991</v>
      </c>
      <c r="E2103">
        <v>9091</v>
      </c>
      <c r="F2103">
        <v>9132.6</v>
      </c>
    </row>
    <row r="2104" spans="1:6" x14ac:dyDescent="0.25">
      <c r="A2104" s="1">
        <v>41862</v>
      </c>
      <c r="B2104">
        <v>9132</v>
      </c>
      <c r="C2104">
        <v>9162</v>
      </c>
      <c r="D2104">
        <v>9111</v>
      </c>
      <c r="E2104">
        <v>9141</v>
      </c>
      <c r="F2104">
        <v>9104</v>
      </c>
    </row>
    <row r="2105" spans="1:6" x14ac:dyDescent="0.25">
      <c r="A2105" s="1">
        <v>41863</v>
      </c>
      <c r="B2105">
        <v>9149</v>
      </c>
      <c r="C2105">
        <v>9158</v>
      </c>
      <c r="D2105">
        <v>9103</v>
      </c>
      <c r="E2105">
        <v>9121</v>
      </c>
      <c r="F2105">
        <v>9108.7999999999993</v>
      </c>
    </row>
    <row r="2106" spans="1:6" x14ac:dyDescent="0.25">
      <c r="A2106" s="1">
        <v>41864</v>
      </c>
      <c r="B2106">
        <v>9131</v>
      </c>
      <c r="C2106">
        <v>9203</v>
      </c>
      <c r="D2106">
        <v>9120</v>
      </c>
      <c r="E2106">
        <v>9200</v>
      </c>
      <c r="F2106">
        <v>9129.2000000000007</v>
      </c>
    </row>
    <row r="2107" spans="1:6" x14ac:dyDescent="0.25">
      <c r="A2107" s="1">
        <v>41865</v>
      </c>
      <c r="B2107">
        <v>9230</v>
      </c>
      <c r="C2107">
        <v>9253</v>
      </c>
      <c r="D2107">
        <v>9203</v>
      </c>
      <c r="E2107">
        <v>9220</v>
      </c>
      <c r="F2107">
        <v>9154.6</v>
      </c>
    </row>
    <row r="2108" spans="1:6" x14ac:dyDescent="0.25">
      <c r="A2108" s="1">
        <v>41866</v>
      </c>
      <c r="B2108">
        <v>9210</v>
      </c>
      <c r="C2108">
        <v>9218</v>
      </c>
      <c r="D2108">
        <v>9155</v>
      </c>
      <c r="E2108">
        <v>9202</v>
      </c>
      <c r="F2108">
        <v>9176.7999999999993</v>
      </c>
    </row>
    <row r="2109" spans="1:6" x14ac:dyDescent="0.25">
      <c r="A2109" s="1">
        <v>41869</v>
      </c>
      <c r="B2109">
        <v>9212</v>
      </c>
      <c r="C2109">
        <v>9224</v>
      </c>
      <c r="D2109">
        <v>9126</v>
      </c>
      <c r="E2109">
        <v>9139</v>
      </c>
      <c r="F2109">
        <v>9176.4</v>
      </c>
    </row>
    <row r="2110" spans="1:6" x14ac:dyDescent="0.25">
      <c r="A2110" s="1">
        <v>41870</v>
      </c>
      <c r="B2110">
        <v>9162</v>
      </c>
      <c r="C2110">
        <v>9249</v>
      </c>
      <c r="D2110">
        <v>9161</v>
      </c>
      <c r="E2110">
        <v>9239</v>
      </c>
      <c r="F2110">
        <v>9200</v>
      </c>
    </row>
    <row r="2111" spans="1:6" x14ac:dyDescent="0.25">
      <c r="A2111" s="1">
        <v>41871</v>
      </c>
      <c r="B2111">
        <v>9260</v>
      </c>
      <c r="C2111">
        <v>9285</v>
      </c>
      <c r="D2111">
        <v>9245</v>
      </c>
      <c r="E2111">
        <v>9275</v>
      </c>
      <c r="F2111">
        <v>9215</v>
      </c>
    </row>
    <row r="2112" spans="1:6" x14ac:dyDescent="0.25">
      <c r="A2112" s="1">
        <v>41872</v>
      </c>
      <c r="B2112">
        <v>9265</v>
      </c>
      <c r="C2112">
        <v>9266</v>
      </c>
      <c r="D2112">
        <v>9200</v>
      </c>
      <c r="E2112">
        <v>9230</v>
      </c>
      <c r="F2112">
        <v>9217</v>
      </c>
    </row>
    <row r="2113" spans="1:6" x14ac:dyDescent="0.25">
      <c r="A2113" s="1">
        <v>41873</v>
      </c>
      <c r="B2113">
        <v>9248</v>
      </c>
      <c r="C2113">
        <v>9387</v>
      </c>
      <c r="D2113">
        <v>9247</v>
      </c>
      <c r="E2113">
        <v>9380</v>
      </c>
      <c r="F2113">
        <v>9252.6</v>
      </c>
    </row>
    <row r="2114" spans="1:6" x14ac:dyDescent="0.25">
      <c r="A2114" s="1">
        <v>41876</v>
      </c>
      <c r="B2114">
        <v>9389</v>
      </c>
      <c r="C2114">
        <v>9399</v>
      </c>
      <c r="D2114">
        <v>9366</v>
      </c>
      <c r="E2114">
        <v>9393</v>
      </c>
      <c r="F2114">
        <v>9303.4</v>
      </c>
    </row>
    <row r="2115" spans="1:6" x14ac:dyDescent="0.25">
      <c r="A2115" s="1">
        <v>41877</v>
      </c>
      <c r="B2115">
        <v>9388</v>
      </c>
      <c r="C2115">
        <v>9408</v>
      </c>
      <c r="D2115">
        <v>9375</v>
      </c>
      <c r="E2115">
        <v>9389</v>
      </c>
      <c r="F2115">
        <v>9333.4</v>
      </c>
    </row>
    <row r="2116" spans="1:6" x14ac:dyDescent="0.25">
      <c r="A2116" s="1">
        <v>41878</v>
      </c>
      <c r="B2116">
        <v>9417</v>
      </c>
      <c r="C2116">
        <v>9498</v>
      </c>
      <c r="D2116">
        <v>9417</v>
      </c>
      <c r="E2116">
        <v>9477</v>
      </c>
      <c r="F2116">
        <v>9373.7999999999993</v>
      </c>
    </row>
    <row r="2117" spans="1:6" x14ac:dyDescent="0.25">
      <c r="A2117" s="1">
        <v>41879</v>
      </c>
      <c r="B2117">
        <v>9493</v>
      </c>
      <c r="C2117">
        <v>9500</v>
      </c>
      <c r="D2117">
        <v>9470</v>
      </c>
      <c r="E2117">
        <v>9479</v>
      </c>
      <c r="F2117">
        <v>9423.6</v>
      </c>
    </row>
    <row r="2118" spans="1:6" x14ac:dyDescent="0.25">
      <c r="A2118" s="1">
        <v>41880</v>
      </c>
      <c r="B2118">
        <v>9456</v>
      </c>
      <c r="C2118">
        <v>9485</v>
      </c>
      <c r="D2118">
        <v>9433</v>
      </c>
      <c r="E2118">
        <v>9474</v>
      </c>
      <c r="F2118">
        <v>9442.4</v>
      </c>
    </row>
    <row r="2119" spans="1:6" x14ac:dyDescent="0.25">
      <c r="A2119" s="1">
        <v>41883</v>
      </c>
      <c r="B2119">
        <v>9473</v>
      </c>
      <c r="C2119">
        <v>9550</v>
      </c>
      <c r="D2119">
        <v>9470</v>
      </c>
      <c r="E2119">
        <v>9527</v>
      </c>
      <c r="F2119">
        <v>9469.2000000000007</v>
      </c>
    </row>
    <row r="2120" spans="1:6" x14ac:dyDescent="0.25">
      <c r="A2120" s="1">
        <v>41884</v>
      </c>
      <c r="B2120">
        <v>9517</v>
      </c>
      <c r="C2120">
        <v>9518</v>
      </c>
      <c r="D2120">
        <v>9388</v>
      </c>
      <c r="E2120">
        <v>9408</v>
      </c>
      <c r="F2120">
        <v>9473</v>
      </c>
    </row>
    <row r="2121" spans="1:6" x14ac:dyDescent="0.25">
      <c r="A2121" s="1">
        <v>41885</v>
      </c>
      <c r="B2121">
        <v>9420</v>
      </c>
      <c r="C2121">
        <v>9481</v>
      </c>
      <c r="D2121">
        <v>9399</v>
      </c>
      <c r="E2121">
        <v>9450</v>
      </c>
      <c r="F2121">
        <v>9467.6</v>
      </c>
    </row>
    <row r="2122" spans="1:6" x14ac:dyDescent="0.25">
      <c r="A2122" s="1">
        <v>41886</v>
      </c>
      <c r="B2122">
        <v>9447</v>
      </c>
      <c r="C2122">
        <v>9450</v>
      </c>
      <c r="D2122">
        <v>9381</v>
      </c>
      <c r="E2122">
        <v>9425</v>
      </c>
      <c r="F2122">
        <v>9456.7999999999993</v>
      </c>
    </row>
    <row r="2123" spans="1:6" x14ac:dyDescent="0.25">
      <c r="A2123" s="1">
        <v>41887</v>
      </c>
      <c r="B2123">
        <v>9444</v>
      </c>
      <c r="C2123">
        <v>9462</v>
      </c>
      <c r="D2123">
        <v>9371</v>
      </c>
      <c r="E2123">
        <v>9405</v>
      </c>
      <c r="F2123">
        <v>9443</v>
      </c>
    </row>
    <row r="2124" spans="1:6" x14ac:dyDescent="0.25">
      <c r="A2124" s="1">
        <v>41891</v>
      </c>
      <c r="B2124">
        <v>9423</v>
      </c>
      <c r="C2124">
        <v>9550</v>
      </c>
      <c r="D2124">
        <v>9420</v>
      </c>
      <c r="E2124">
        <v>9428</v>
      </c>
      <c r="F2124">
        <v>9423.2000000000007</v>
      </c>
    </row>
    <row r="2125" spans="1:6" x14ac:dyDescent="0.25">
      <c r="A2125" s="1">
        <v>41892</v>
      </c>
      <c r="B2125">
        <v>9382</v>
      </c>
      <c r="C2125">
        <v>9402</v>
      </c>
      <c r="D2125">
        <v>9311</v>
      </c>
      <c r="E2125">
        <v>9347</v>
      </c>
      <c r="F2125">
        <v>9411</v>
      </c>
    </row>
    <row r="2126" spans="1:6" x14ac:dyDescent="0.25">
      <c r="A2126" s="1">
        <v>41893</v>
      </c>
      <c r="B2126">
        <v>9375</v>
      </c>
      <c r="C2126">
        <v>9385</v>
      </c>
      <c r="D2126">
        <v>9300</v>
      </c>
      <c r="E2126">
        <v>9302</v>
      </c>
      <c r="F2126">
        <v>9381.4</v>
      </c>
    </row>
    <row r="2127" spans="1:6" x14ac:dyDescent="0.25">
      <c r="A2127" s="1">
        <v>41894</v>
      </c>
      <c r="B2127">
        <v>9326</v>
      </c>
      <c r="C2127">
        <v>9329</v>
      </c>
      <c r="D2127">
        <v>9229</v>
      </c>
      <c r="E2127">
        <v>9246</v>
      </c>
      <c r="F2127">
        <v>9345.6</v>
      </c>
    </row>
    <row r="2128" spans="1:6" x14ac:dyDescent="0.25">
      <c r="A2128" s="1">
        <v>41897</v>
      </c>
      <c r="B2128">
        <v>9204</v>
      </c>
      <c r="C2128">
        <v>9243</v>
      </c>
      <c r="D2128">
        <v>9172</v>
      </c>
      <c r="E2128">
        <v>9220</v>
      </c>
      <c r="F2128">
        <v>9308.6</v>
      </c>
    </row>
    <row r="2129" spans="1:6" x14ac:dyDescent="0.25">
      <c r="A2129" s="1">
        <v>41898</v>
      </c>
      <c r="B2129">
        <v>9219</v>
      </c>
      <c r="C2129">
        <v>9233</v>
      </c>
      <c r="D2129">
        <v>9141</v>
      </c>
      <c r="E2129">
        <v>9153</v>
      </c>
      <c r="F2129">
        <v>9253.6</v>
      </c>
    </row>
    <row r="2130" spans="1:6" x14ac:dyDescent="0.25">
      <c r="A2130" s="1">
        <v>41899</v>
      </c>
      <c r="B2130">
        <v>9196</v>
      </c>
      <c r="C2130">
        <v>9248</v>
      </c>
      <c r="D2130">
        <v>9150</v>
      </c>
      <c r="E2130">
        <v>9172</v>
      </c>
      <c r="F2130">
        <v>9218.6</v>
      </c>
    </row>
    <row r="2131" spans="1:6" x14ac:dyDescent="0.25">
      <c r="A2131" s="1">
        <v>41900</v>
      </c>
      <c r="B2131">
        <v>9240</v>
      </c>
      <c r="C2131">
        <v>9265</v>
      </c>
      <c r="D2131">
        <v>9213</v>
      </c>
      <c r="E2131">
        <v>9242</v>
      </c>
      <c r="F2131">
        <v>9206.6</v>
      </c>
    </row>
    <row r="2132" spans="1:6" x14ac:dyDescent="0.25">
      <c r="A2132" s="1">
        <v>41901</v>
      </c>
      <c r="B2132">
        <v>9292</v>
      </c>
      <c r="C2132">
        <v>9303</v>
      </c>
      <c r="D2132">
        <v>9240</v>
      </c>
      <c r="E2132">
        <v>9265</v>
      </c>
      <c r="F2132">
        <v>9210.4</v>
      </c>
    </row>
    <row r="2133" spans="1:6" x14ac:dyDescent="0.25">
      <c r="A2133" s="1">
        <v>41904</v>
      </c>
      <c r="B2133">
        <v>9205</v>
      </c>
      <c r="C2133">
        <v>9210</v>
      </c>
      <c r="D2133">
        <v>9100</v>
      </c>
      <c r="E2133">
        <v>9128</v>
      </c>
      <c r="F2133">
        <v>9192</v>
      </c>
    </row>
    <row r="2134" spans="1:6" x14ac:dyDescent="0.25">
      <c r="A2134" s="1">
        <v>41905</v>
      </c>
      <c r="B2134">
        <v>9104</v>
      </c>
      <c r="C2134">
        <v>9152</v>
      </c>
      <c r="D2134">
        <v>9101</v>
      </c>
      <c r="E2134">
        <v>9115</v>
      </c>
      <c r="F2134">
        <v>9184.4</v>
      </c>
    </row>
    <row r="2135" spans="1:6" x14ac:dyDescent="0.25">
      <c r="A2135" s="1">
        <v>41906</v>
      </c>
      <c r="B2135">
        <v>9095</v>
      </c>
      <c r="C2135">
        <v>9142</v>
      </c>
      <c r="D2135">
        <v>9081</v>
      </c>
      <c r="E2135">
        <v>9126</v>
      </c>
      <c r="F2135">
        <v>9175.2000000000007</v>
      </c>
    </row>
    <row r="2136" spans="1:6" x14ac:dyDescent="0.25">
      <c r="A2136" s="1">
        <v>41907</v>
      </c>
      <c r="B2136">
        <v>9156</v>
      </c>
      <c r="C2136">
        <v>9167</v>
      </c>
      <c r="D2136">
        <v>8995</v>
      </c>
      <c r="E2136">
        <v>9029</v>
      </c>
      <c r="F2136">
        <v>9132.6</v>
      </c>
    </row>
    <row r="2137" spans="1:6" x14ac:dyDescent="0.25">
      <c r="A2137" s="1">
        <v>41908</v>
      </c>
      <c r="B2137">
        <v>8956</v>
      </c>
      <c r="C2137">
        <v>9022</v>
      </c>
      <c r="D2137">
        <v>8936</v>
      </c>
      <c r="E2137">
        <v>8982</v>
      </c>
      <c r="F2137">
        <v>9076</v>
      </c>
    </row>
    <row r="2138" spans="1:6" x14ac:dyDescent="0.25">
      <c r="A2138" s="1">
        <v>41911</v>
      </c>
      <c r="B2138">
        <v>8992</v>
      </c>
      <c r="C2138">
        <v>9008</v>
      </c>
      <c r="D2138">
        <v>8943</v>
      </c>
      <c r="E2138">
        <v>8983</v>
      </c>
      <c r="F2138">
        <v>9047</v>
      </c>
    </row>
    <row r="2139" spans="1:6" x14ac:dyDescent="0.25">
      <c r="A2139" s="1">
        <v>41912</v>
      </c>
      <c r="B2139">
        <v>8965</v>
      </c>
      <c r="C2139">
        <v>9021</v>
      </c>
      <c r="D2139">
        <v>8871</v>
      </c>
      <c r="E2139">
        <v>8994</v>
      </c>
      <c r="F2139">
        <v>9022.7999999999993</v>
      </c>
    </row>
    <row r="2140" spans="1:6" x14ac:dyDescent="0.25">
      <c r="A2140" s="1">
        <v>41913</v>
      </c>
      <c r="B2140">
        <v>8945</v>
      </c>
      <c r="C2140">
        <v>9015</v>
      </c>
      <c r="D2140">
        <v>8911</v>
      </c>
      <c r="E2140">
        <v>8980</v>
      </c>
      <c r="F2140">
        <v>8993.6</v>
      </c>
    </row>
    <row r="2141" spans="1:6" x14ac:dyDescent="0.25">
      <c r="A2141" s="1">
        <v>41914</v>
      </c>
      <c r="B2141">
        <v>8921</v>
      </c>
      <c r="C2141">
        <v>9021</v>
      </c>
      <c r="D2141">
        <v>8905</v>
      </c>
      <c r="E2141">
        <v>8992</v>
      </c>
      <c r="F2141">
        <v>8986.2000000000007</v>
      </c>
    </row>
    <row r="2142" spans="1:6" x14ac:dyDescent="0.25">
      <c r="A2142" s="1">
        <v>41915</v>
      </c>
      <c r="B2142">
        <v>9004</v>
      </c>
      <c r="C2142">
        <v>9107</v>
      </c>
      <c r="D2142">
        <v>8993</v>
      </c>
      <c r="E2142">
        <v>9100</v>
      </c>
      <c r="F2142">
        <v>9009.7999999999993</v>
      </c>
    </row>
    <row r="2143" spans="1:6" x14ac:dyDescent="0.25">
      <c r="A2143" s="1">
        <v>41918</v>
      </c>
      <c r="B2143">
        <v>9105</v>
      </c>
      <c r="C2143">
        <v>9110</v>
      </c>
      <c r="D2143">
        <v>9056</v>
      </c>
      <c r="E2143">
        <v>9084</v>
      </c>
      <c r="F2143">
        <v>9030</v>
      </c>
    </row>
    <row r="2144" spans="1:6" x14ac:dyDescent="0.25">
      <c r="A2144" s="1">
        <v>41919</v>
      </c>
      <c r="B2144">
        <v>9035</v>
      </c>
      <c r="C2144">
        <v>9047</v>
      </c>
      <c r="D2144">
        <v>8976</v>
      </c>
      <c r="E2144">
        <v>9019</v>
      </c>
      <c r="F2144">
        <v>9035</v>
      </c>
    </row>
    <row r="2145" spans="1:6" x14ac:dyDescent="0.25">
      <c r="A2145" s="1">
        <v>41920</v>
      </c>
      <c r="B2145">
        <v>8985</v>
      </c>
      <c r="C2145">
        <v>9029</v>
      </c>
      <c r="D2145">
        <v>8929</v>
      </c>
      <c r="E2145">
        <v>8935</v>
      </c>
      <c r="F2145">
        <v>9026</v>
      </c>
    </row>
    <row r="2146" spans="1:6" x14ac:dyDescent="0.25">
      <c r="A2146" s="1">
        <v>41921</v>
      </c>
      <c r="B2146">
        <v>8995</v>
      </c>
      <c r="C2146">
        <v>9038</v>
      </c>
      <c r="D2146">
        <v>8950</v>
      </c>
      <c r="E2146">
        <v>8980</v>
      </c>
      <c r="F2146">
        <v>9023.6</v>
      </c>
    </row>
    <row r="2147" spans="1:6" x14ac:dyDescent="0.25">
      <c r="A2147" s="1">
        <v>41925</v>
      </c>
      <c r="B2147">
        <v>8802</v>
      </c>
      <c r="C2147">
        <v>8817</v>
      </c>
      <c r="D2147">
        <v>8712</v>
      </c>
      <c r="E2147">
        <v>8713</v>
      </c>
      <c r="F2147">
        <v>8946.2000000000007</v>
      </c>
    </row>
    <row r="2148" spans="1:6" x14ac:dyDescent="0.25">
      <c r="A2148" s="1">
        <v>41926</v>
      </c>
      <c r="B2148">
        <v>8730</v>
      </c>
      <c r="C2148">
        <v>8759</v>
      </c>
      <c r="D2148">
        <v>8702</v>
      </c>
      <c r="E2148">
        <v>8745</v>
      </c>
      <c r="F2148">
        <v>8878.4</v>
      </c>
    </row>
    <row r="2149" spans="1:6" x14ac:dyDescent="0.25">
      <c r="A2149" s="1">
        <v>41927</v>
      </c>
      <c r="B2149">
        <v>8743</v>
      </c>
      <c r="C2149">
        <v>8764</v>
      </c>
      <c r="D2149">
        <v>8640</v>
      </c>
      <c r="E2149">
        <v>8646</v>
      </c>
      <c r="F2149">
        <v>8803.7999999999993</v>
      </c>
    </row>
    <row r="2150" spans="1:6" x14ac:dyDescent="0.25">
      <c r="A2150" s="1">
        <v>41928</v>
      </c>
      <c r="B2150">
        <v>8581</v>
      </c>
      <c r="C2150">
        <v>8683</v>
      </c>
      <c r="D2150">
        <v>8505</v>
      </c>
      <c r="E2150">
        <v>8633</v>
      </c>
      <c r="F2150">
        <v>8743.4</v>
      </c>
    </row>
    <row r="2151" spans="1:6" x14ac:dyDescent="0.25">
      <c r="A2151" s="1">
        <v>41929</v>
      </c>
      <c r="B2151">
        <v>8651</v>
      </c>
      <c r="C2151">
        <v>8673</v>
      </c>
      <c r="D2151">
        <v>8496</v>
      </c>
      <c r="E2151">
        <v>8500</v>
      </c>
      <c r="F2151">
        <v>8647.4</v>
      </c>
    </row>
    <row r="2152" spans="1:6" x14ac:dyDescent="0.25">
      <c r="A2152" s="1">
        <v>41932</v>
      </c>
      <c r="B2152">
        <v>8596</v>
      </c>
      <c r="C2152">
        <v>8681</v>
      </c>
      <c r="D2152">
        <v>8588</v>
      </c>
      <c r="E2152">
        <v>8663</v>
      </c>
      <c r="F2152">
        <v>8637.4</v>
      </c>
    </row>
    <row r="2153" spans="1:6" x14ac:dyDescent="0.25">
      <c r="A2153" s="1">
        <v>41933</v>
      </c>
      <c r="B2153">
        <v>8658</v>
      </c>
      <c r="C2153">
        <v>8662</v>
      </c>
      <c r="D2153">
        <v>8617</v>
      </c>
      <c r="E2153">
        <v>8638</v>
      </c>
      <c r="F2153">
        <v>8616</v>
      </c>
    </row>
    <row r="2154" spans="1:6" x14ac:dyDescent="0.25">
      <c r="A2154" s="1">
        <v>41934</v>
      </c>
      <c r="B2154">
        <v>8740</v>
      </c>
      <c r="C2154">
        <v>8764</v>
      </c>
      <c r="D2154">
        <v>8715</v>
      </c>
      <c r="E2154">
        <v>8744</v>
      </c>
      <c r="F2154">
        <v>8635.6</v>
      </c>
    </row>
    <row r="2155" spans="1:6" x14ac:dyDescent="0.25">
      <c r="A2155" s="1">
        <v>41935</v>
      </c>
      <c r="B2155">
        <v>8737</v>
      </c>
      <c r="C2155">
        <v>8740</v>
      </c>
      <c r="D2155">
        <v>8702</v>
      </c>
      <c r="E2155">
        <v>8721</v>
      </c>
      <c r="F2155">
        <v>8653.2000000000007</v>
      </c>
    </row>
    <row r="2156" spans="1:6" x14ac:dyDescent="0.25">
      <c r="A2156" s="1">
        <v>41936</v>
      </c>
      <c r="B2156">
        <v>8746</v>
      </c>
      <c r="C2156">
        <v>8748</v>
      </c>
      <c r="D2156">
        <v>8609</v>
      </c>
      <c r="E2156">
        <v>8641</v>
      </c>
      <c r="F2156">
        <v>8681.4</v>
      </c>
    </row>
    <row r="2157" spans="1:6" x14ac:dyDescent="0.25">
      <c r="A2157" s="1">
        <v>41939</v>
      </c>
      <c r="B2157">
        <v>8671</v>
      </c>
      <c r="C2157">
        <v>8686</v>
      </c>
      <c r="D2157">
        <v>8592</v>
      </c>
      <c r="E2157">
        <v>8645</v>
      </c>
      <c r="F2157">
        <v>8677.7999999999993</v>
      </c>
    </row>
    <row r="2158" spans="1:6" x14ac:dyDescent="0.25">
      <c r="A2158" s="1">
        <v>41940</v>
      </c>
      <c r="B2158">
        <v>8668</v>
      </c>
      <c r="C2158">
        <v>8805</v>
      </c>
      <c r="D2158">
        <v>8661</v>
      </c>
      <c r="E2158">
        <v>8793</v>
      </c>
      <c r="F2158">
        <v>8708.7999999999993</v>
      </c>
    </row>
    <row r="2159" spans="1:6" x14ac:dyDescent="0.25">
      <c r="A2159" s="1">
        <v>41941</v>
      </c>
      <c r="B2159">
        <v>8834</v>
      </c>
      <c r="C2159">
        <v>8905</v>
      </c>
      <c r="D2159">
        <v>8817</v>
      </c>
      <c r="E2159">
        <v>8879</v>
      </c>
      <c r="F2159">
        <v>8735.7999999999993</v>
      </c>
    </row>
    <row r="2160" spans="1:6" x14ac:dyDescent="0.25">
      <c r="A2160" s="1">
        <v>41942</v>
      </c>
      <c r="B2160">
        <v>8880</v>
      </c>
      <c r="C2160">
        <v>8890</v>
      </c>
      <c r="D2160">
        <v>8838</v>
      </c>
      <c r="E2160">
        <v>8881</v>
      </c>
      <c r="F2160">
        <v>8767.7999999999993</v>
      </c>
    </row>
    <row r="2161" spans="1:6" x14ac:dyDescent="0.25">
      <c r="A2161" s="1">
        <v>41943</v>
      </c>
      <c r="B2161">
        <v>8887</v>
      </c>
      <c r="C2161">
        <v>8978</v>
      </c>
      <c r="D2161">
        <v>8868</v>
      </c>
      <c r="E2161">
        <v>8978</v>
      </c>
      <c r="F2161">
        <v>8835.2000000000007</v>
      </c>
    </row>
    <row r="2162" spans="1:6" x14ac:dyDescent="0.25">
      <c r="A2162" s="1">
        <v>41946</v>
      </c>
      <c r="B2162">
        <v>8984</v>
      </c>
      <c r="C2162">
        <v>9027</v>
      </c>
      <c r="D2162">
        <v>8942</v>
      </c>
      <c r="E2162">
        <v>8982</v>
      </c>
      <c r="F2162">
        <v>8902.6</v>
      </c>
    </row>
    <row r="2163" spans="1:6" x14ac:dyDescent="0.25">
      <c r="A2163" s="1">
        <v>41947</v>
      </c>
      <c r="B2163">
        <v>8984</v>
      </c>
      <c r="C2163">
        <v>9055</v>
      </c>
      <c r="D2163">
        <v>8968</v>
      </c>
      <c r="E2163">
        <v>8990</v>
      </c>
      <c r="F2163">
        <v>8942</v>
      </c>
    </row>
    <row r="2164" spans="1:6" x14ac:dyDescent="0.25">
      <c r="A2164" s="1">
        <v>41948</v>
      </c>
      <c r="B2164">
        <v>9025</v>
      </c>
      <c r="C2164">
        <v>9039</v>
      </c>
      <c r="D2164">
        <v>8960</v>
      </c>
      <c r="E2164">
        <v>8988</v>
      </c>
      <c r="F2164">
        <v>8963.7999999999993</v>
      </c>
    </row>
    <row r="2165" spans="1:6" x14ac:dyDescent="0.25">
      <c r="A2165" s="1">
        <v>41949</v>
      </c>
      <c r="B2165">
        <v>8978</v>
      </c>
      <c r="C2165">
        <v>9006</v>
      </c>
      <c r="D2165">
        <v>8891</v>
      </c>
      <c r="E2165">
        <v>8902</v>
      </c>
      <c r="F2165">
        <v>8968</v>
      </c>
    </row>
    <row r="2166" spans="1:6" x14ac:dyDescent="0.25">
      <c r="A2166" s="1">
        <v>41950</v>
      </c>
      <c r="B2166">
        <v>8926</v>
      </c>
      <c r="C2166">
        <v>8942</v>
      </c>
      <c r="D2166">
        <v>8863</v>
      </c>
      <c r="E2166">
        <v>8940</v>
      </c>
      <c r="F2166">
        <v>8960.4</v>
      </c>
    </row>
    <row r="2167" spans="1:6" x14ac:dyDescent="0.25">
      <c r="A2167" s="1">
        <v>41953</v>
      </c>
      <c r="B2167">
        <v>8965</v>
      </c>
      <c r="C2167">
        <v>9092</v>
      </c>
      <c r="D2167">
        <v>8952</v>
      </c>
      <c r="E2167">
        <v>9073</v>
      </c>
      <c r="F2167">
        <v>8978.6</v>
      </c>
    </row>
    <row r="2168" spans="1:6" x14ac:dyDescent="0.25">
      <c r="A2168" s="1">
        <v>41954</v>
      </c>
      <c r="B2168">
        <v>9089</v>
      </c>
      <c r="C2168">
        <v>9105</v>
      </c>
      <c r="D2168">
        <v>9048</v>
      </c>
      <c r="E2168">
        <v>9061</v>
      </c>
      <c r="F2168">
        <v>8992.7999999999993</v>
      </c>
    </row>
    <row r="2169" spans="1:6" x14ac:dyDescent="0.25">
      <c r="A2169" s="1">
        <v>41955</v>
      </c>
      <c r="B2169">
        <v>9030</v>
      </c>
      <c r="C2169">
        <v>9034</v>
      </c>
      <c r="D2169">
        <v>8900</v>
      </c>
      <c r="E2169">
        <v>8903</v>
      </c>
      <c r="F2169">
        <v>8975.7999999999993</v>
      </c>
    </row>
    <row r="2170" spans="1:6" x14ac:dyDescent="0.25">
      <c r="A2170" s="1">
        <v>41956</v>
      </c>
      <c r="B2170">
        <v>8922</v>
      </c>
      <c r="C2170">
        <v>8978</v>
      </c>
      <c r="D2170">
        <v>8902</v>
      </c>
      <c r="E2170">
        <v>8961</v>
      </c>
      <c r="F2170">
        <v>8987.6</v>
      </c>
    </row>
    <row r="2171" spans="1:6" x14ac:dyDescent="0.25">
      <c r="A2171" s="1">
        <v>41957</v>
      </c>
      <c r="B2171">
        <v>8980</v>
      </c>
      <c r="C2171">
        <v>8996</v>
      </c>
      <c r="D2171">
        <v>8933</v>
      </c>
      <c r="E2171">
        <v>8961</v>
      </c>
      <c r="F2171">
        <v>8991.7999999999993</v>
      </c>
    </row>
    <row r="2172" spans="1:6" x14ac:dyDescent="0.25">
      <c r="A2172" s="1">
        <v>41960</v>
      </c>
      <c r="B2172">
        <v>8955</v>
      </c>
      <c r="C2172">
        <v>9043</v>
      </c>
      <c r="D2172">
        <v>8872</v>
      </c>
      <c r="E2172">
        <v>8901</v>
      </c>
      <c r="F2172">
        <v>8957.4</v>
      </c>
    </row>
    <row r="2173" spans="1:6" x14ac:dyDescent="0.25">
      <c r="A2173" s="1">
        <v>41961</v>
      </c>
      <c r="B2173">
        <v>8950</v>
      </c>
      <c r="C2173">
        <v>8959</v>
      </c>
      <c r="D2173">
        <v>8838</v>
      </c>
      <c r="E2173">
        <v>8875</v>
      </c>
      <c r="F2173">
        <v>8920.2000000000007</v>
      </c>
    </row>
    <row r="2174" spans="1:6" x14ac:dyDescent="0.25">
      <c r="A2174" s="1">
        <v>41962</v>
      </c>
      <c r="B2174">
        <v>8900</v>
      </c>
      <c r="C2174">
        <v>8985</v>
      </c>
      <c r="D2174">
        <v>8877</v>
      </c>
      <c r="E2174">
        <v>8952</v>
      </c>
      <c r="F2174">
        <v>8930</v>
      </c>
    </row>
    <row r="2175" spans="1:6" x14ac:dyDescent="0.25">
      <c r="A2175" s="1">
        <v>41963</v>
      </c>
      <c r="B2175">
        <v>9030</v>
      </c>
      <c r="C2175">
        <v>9104</v>
      </c>
      <c r="D2175">
        <v>9012</v>
      </c>
      <c r="E2175">
        <v>9092</v>
      </c>
      <c r="F2175">
        <v>8956.2000000000007</v>
      </c>
    </row>
    <row r="2176" spans="1:6" x14ac:dyDescent="0.25">
      <c r="A2176" s="1">
        <v>41964</v>
      </c>
      <c r="B2176">
        <v>9117</v>
      </c>
      <c r="C2176">
        <v>9125</v>
      </c>
      <c r="D2176">
        <v>9081</v>
      </c>
      <c r="E2176">
        <v>9105</v>
      </c>
      <c r="F2176">
        <v>8985</v>
      </c>
    </row>
    <row r="2177" spans="1:6" x14ac:dyDescent="0.25">
      <c r="A2177" s="1">
        <v>41967</v>
      </c>
      <c r="B2177">
        <v>9135</v>
      </c>
      <c r="C2177">
        <v>9169</v>
      </c>
      <c r="D2177">
        <v>9110</v>
      </c>
      <c r="E2177">
        <v>9130</v>
      </c>
      <c r="F2177">
        <v>9030.7999999999993</v>
      </c>
    </row>
    <row r="2178" spans="1:6" x14ac:dyDescent="0.25">
      <c r="A2178" s="1">
        <v>41968</v>
      </c>
      <c r="B2178">
        <v>9115</v>
      </c>
      <c r="C2178">
        <v>9150</v>
      </c>
      <c r="D2178">
        <v>9071</v>
      </c>
      <c r="E2178">
        <v>9108</v>
      </c>
      <c r="F2178">
        <v>9077.4</v>
      </c>
    </row>
    <row r="2179" spans="1:6" x14ac:dyDescent="0.25">
      <c r="A2179" s="1">
        <v>41969</v>
      </c>
      <c r="B2179">
        <v>9125</v>
      </c>
      <c r="C2179">
        <v>9143</v>
      </c>
      <c r="D2179">
        <v>9101</v>
      </c>
      <c r="E2179">
        <v>9121</v>
      </c>
      <c r="F2179">
        <v>9111.2000000000007</v>
      </c>
    </row>
    <row r="2180" spans="1:6" x14ac:dyDescent="0.25">
      <c r="A2180" s="1">
        <v>41970</v>
      </c>
      <c r="B2180">
        <v>9139</v>
      </c>
      <c r="C2180">
        <v>9235</v>
      </c>
      <c r="D2180">
        <v>9135</v>
      </c>
      <c r="E2180">
        <v>9177</v>
      </c>
      <c r="F2180">
        <v>9128.2000000000007</v>
      </c>
    </row>
    <row r="2181" spans="1:6" x14ac:dyDescent="0.25">
      <c r="A2181" s="1">
        <v>41971</v>
      </c>
      <c r="B2181">
        <v>9203</v>
      </c>
      <c r="C2181">
        <v>9208</v>
      </c>
      <c r="D2181">
        <v>9174</v>
      </c>
      <c r="E2181">
        <v>9178</v>
      </c>
      <c r="F2181">
        <v>9142.7999999999993</v>
      </c>
    </row>
    <row r="2182" spans="1:6" x14ac:dyDescent="0.25">
      <c r="A2182" s="1">
        <v>41974</v>
      </c>
      <c r="B2182">
        <v>9050</v>
      </c>
      <c r="C2182">
        <v>9181</v>
      </c>
      <c r="D2182">
        <v>8991</v>
      </c>
      <c r="E2182">
        <v>9121</v>
      </c>
      <c r="F2182">
        <v>9141</v>
      </c>
    </row>
    <row r="2183" spans="1:6" x14ac:dyDescent="0.25">
      <c r="A2183" s="1">
        <v>41975</v>
      </c>
      <c r="B2183">
        <v>9095</v>
      </c>
      <c r="C2183">
        <v>9098</v>
      </c>
      <c r="D2183">
        <v>9001</v>
      </c>
      <c r="E2183">
        <v>9032</v>
      </c>
      <c r="F2183">
        <v>9125.7999999999993</v>
      </c>
    </row>
    <row r="2184" spans="1:6" x14ac:dyDescent="0.25">
      <c r="A2184" s="1">
        <v>41976</v>
      </c>
      <c r="B2184">
        <v>9048</v>
      </c>
      <c r="C2184">
        <v>9214</v>
      </c>
      <c r="D2184">
        <v>9035</v>
      </c>
      <c r="E2184">
        <v>9214</v>
      </c>
      <c r="F2184">
        <v>9144.4</v>
      </c>
    </row>
    <row r="2185" spans="1:6" x14ac:dyDescent="0.25">
      <c r="A2185" s="1">
        <v>41977</v>
      </c>
      <c r="B2185">
        <v>9218</v>
      </c>
      <c r="C2185">
        <v>9265</v>
      </c>
      <c r="D2185">
        <v>9200</v>
      </c>
      <c r="E2185">
        <v>9219</v>
      </c>
      <c r="F2185">
        <v>9152.7999999999993</v>
      </c>
    </row>
    <row r="2186" spans="1:6" x14ac:dyDescent="0.25">
      <c r="A2186" s="1">
        <v>41978</v>
      </c>
      <c r="B2186">
        <v>9201</v>
      </c>
      <c r="C2186">
        <v>9230</v>
      </c>
      <c r="D2186">
        <v>9182</v>
      </c>
      <c r="E2186">
        <v>9216</v>
      </c>
      <c r="F2186">
        <v>9160.4</v>
      </c>
    </row>
    <row r="2187" spans="1:6" x14ac:dyDescent="0.25">
      <c r="A2187" s="1">
        <v>41981</v>
      </c>
      <c r="B2187">
        <v>9263</v>
      </c>
      <c r="C2187">
        <v>9265</v>
      </c>
      <c r="D2187">
        <v>9168</v>
      </c>
      <c r="E2187">
        <v>9186</v>
      </c>
      <c r="F2187">
        <v>9173.4</v>
      </c>
    </row>
    <row r="2188" spans="1:6" x14ac:dyDescent="0.25">
      <c r="A2188" s="1">
        <v>41982</v>
      </c>
      <c r="B2188">
        <v>9139</v>
      </c>
      <c r="C2188">
        <v>9175</v>
      </c>
      <c r="D2188">
        <v>9121</v>
      </c>
      <c r="E2188">
        <v>9131</v>
      </c>
      <c r="F2188">
        <v>9193.2000000000007</v>
      </c>
    </row>
    <row r="2189" spans="1:6" x14ac:dyDescent="0.25">
      <c r="A2189" s="1">
        <v>41983</v>
      </c>
      <c r="B2189">
        <v>9092</v>
      </c>
      <c r="C2189">
        <v>9136</v>
      </c>
      <c r="D2189">
        <v>9003</v>
      </c>
      <c r="E2189">
        <v>9047</v>
      </c>
      <c r="F2189">
        <v>9159.7999999999993</v>
      </c>
    </row>
    <row r="2190" spans="1:6" x14ac:dyDescent="0.25">
      <c r="A2190" s="1">
        <v>41984</v>
      </c>
      <c r="B2190">
        <v>8977</v>
      </c>
      <c r="C2190">
        <v>9049</v>
      </c>
      <c r="D2190">
        <v>8959</v>
      </c>
      <c r="E2190">
        <v>9010</v>
      </c>
      <c r="F2190">
        <v>9118</v>
      </c>
    </row>
    <row r="2191" spans="1:6" x14ac:dyDescent="0.25">
      <c r="A2191" s="1">
        <v>41985</v>
      </c>
      <c r="B2191">
        <v>9027</v>
      </c>
      <c r="C2191">
        <v>9069</v>
      </c>
      <c r="D2191">
        <v>9003</v>
      </c>
      <c r="E2191">
        <v>9006</v>
      </c>
      <c r="F2191">
        <v>9076</v>
      </c>
    </row>
    <row r="2192" spans="1:6" x14ac:dyDescent="0.25">
      <c r="A2192" s="1">
        <v>41988</v>
      </c>
      <c r="B2192">
        <v>8958</v>
      </c>
      <c r="C2192">
        <v>9038</v>
      </c>
      <c r="D2192">
        <v>8926</v>
      </c>
      <c r="E2192">
        <v>9038</v>
      </c>
      <c r="F2192">
        <v>9046.4</v>
      </c>
    </row>
    <row r="2193" spans="1:6" x14ac:dyDescent="0.25">
      <c r="A2193" s="1">
        <v>41989</v>
      </c>
      <c r="B2193">
        <v>8980</v>
      </c>
      <c r="C2193">
        <v>9042</v>
      </c>
      <c r="D2193">
        <v>8963</v>
      </c>
      <c r="E2193">
        <v>8979</v>
      </c>
      <c r="F2193">
        <v>9016</v>
      </c>
    </row>
    <row r="2194" spans="1:6" x14ac:dyDescent="0.25">
      <c r="A2194" s="1">
        <v>41990</v>
      </c>
      <c r="B2194">
        <v>8970</v>
      </c>
      <c r="C2194">
        <v>8985</v>
      </c>
      <c r="D2194">
        <v>8834</v>
      </c>
      <c r="E2194">
        <v>8844</v>
      </c>
      <c r="F2194">
        <v>8975.4</v>
      </c>
    </row>
    <row r="2195" spans="1:6" x14ac:dyDescent="0.25">
      <c r="A2195" s="1">
        <v>41991</v>
      </c>
      <c r="B2195">
        <v>8900</v>
      </c>
      <c r="C2195">
        <v>8927</v>
      </c>
      <c r="D2195">
        <v>8856</v>
      </c>
      <c r="E2195">
        <v>8859</v>
      </c>
      <c r="F2195">
        <v>8945.2000000000007</v>
      </c>
    </row>
    <row r="2196" spans="1:6" x14ac:dyDescent="0.25">
      <c r="A2196" s="1">
        <v>41992</v>
      </c>
      <c r="B2196">
        <v>8958</v>
      </c>
      <c r="C2196">
        <v>9039</v>
      </c>
      <c r="D2196">
        <v>8958</v>
      </c>
      <c r="E2196">
        <v>9019</v>
      </c>
      <c r="F2196">
        <v>8947.7999999999993</v>
      </c>
    </row>
    <row r="2197" spans="1:6" x14ac:dyDescent="0.25">
      <c r="A2197" s="1">
        <v>41995</v>
      </c>
      <c r="B2197">
        <v>9030</v>
      </c>
      <c r="C2197">
        <v>9100</v>
      </c>
      <c r="D2197">
        <v>9023</v>
      </c>
      <c r="E2197">
        <v>9095</v>
      </c>
      <c r="F2197">
        <v>8959.2000000000007</v>
      </c>
    </row>
    <row r="2198" spans="1:6" x14ac:dyDescent="0.25">
      <c r="A2198" s="1">
        <v>41996</v>
      </c>
      <c r="B2198">
        <v>9132</v>
      </c>
      <c r="C2198">
        <v>9140</v>
      </c>
      <c r="D2198">
        <v>9097</v>
      </c>
      <c r="E2198">
        <v>9116</v>
      </c>
      <c r="F2198">
        <v>8986.6</v>
      </c>
    </row>
    <row r="2199" spans="1:6" x14ac:dyDescent="0.25">
      <c r="A2199" s="1">
        <v>41997</v>
      </c>
      <c r="B2199">
        <v>9119</v>
      </c>
      <c r="C2199">
        <v>9183</v>
      </c>
      <c r="D2199">
        <v>9103</v>
      </c>
      <c r="E2199">
        <v>9177</v>
      </c>
      <c r="F2199">
        <v>9053.2000000000007</v>
      </c>
    </row>
    <row r="2200" spans="1:6" x14ac:dyDescent="0.25">
      <c r="A2200" s="1">
        <v>41998</v>
      </c>
      <c r="B2200">
        <v>9170</v>
      </c>
      <c r="C2200">
        <v>9195</v>
      </c>
      <c r="D2200">
        <v>9162</v>
      </c>
      <c r="E2200">
        <v>9181</v>
      </c>
      <c r="F2200">
        <v>9117.6</v>
      </c>
    </row>
    <row r="2201" spans="1:6" x14ac:dyDescent="0.25">
      <c r="A2201" s="1">
        <v>41999</v>
      </c>
      <c r="B2201">
        <v>9178</v>
      </c>
      <c r="C2201">
        <v>9229</v>
      </c>
      <c r="D2201">
        <v>9173</v>
      </c>
      <c r="E2201">
        <v>9228</v>
      </c>
      <c r="F2201">
        <v>9159.4</v>
      </c>
    </row>
    <row r="2202" spans="1:6" x14ac:dyDescent="0.25">
      <c r="A2202" s="1">
        <v>42000</v>
      </c>
      <c r="B2202">
        <v>9231</v>
      </c>
      <c r="C2202">
        <v>9257</v>
      </c>
      <c r="D2202">
        <v>9226</v>
      </c>
      <c r="E2202">
        <v>9257</v>
      </c>
      <c r="F2202">
        <v>9191.7999999999993</v>
      </c>
    </row>
    <row r="2203" spans="1:6" x14ac:dyDescent="0.25">
      <c r="A2203" s="1">
        <v>42002</v>
      </c>
      <c r="B2203">
        <v>9247</v>
      </c>
      <c r="C2203">
        <v>9336</v>
      </c>
      <c r="D2203">
        <v>9242</v>
      </c>
      <c r="E2203">
        <v>9311</v>
      </c>
      <c r="F2203">
        <v>9230.7999999999993</v>
      </c>
    </row>
    <row r="2204" spans="1:6" x14ac:dyDescent="0.25">
      <c r="A2204" s="1">
        <v>42003</v>
      </c>
      <c r="B2204">
        <v>9324</v>
      </c>
      <c r="C2204">
        <v>9343</v>
      </c>
      <c r="D2204">
        <v>9268</v>
      </c>
      <c r="E2204">
        <v>9286</v>
      </c>
      <c r="F2204">
        <v>9252.6</v>
      </c>
    </row>
    <row r="2205" spans="1:6" x14ac:dyDescent="0.25">
      <c r="A2205" s="1">
        <v>42004</v>
      </c>
      <c r="B2205">
        <v>9287</v>
      </c>
      <c r="C2205">
        <v>9303</v>
      </c>
      <c r="D2205">
        <v>9252</v>
      </c>
      <c r="E2205">
        <v>9281</v>
      </c>
      <c r="F2205">
        <v>9272.6</v>
      </c>
    </row>
    <row r="2206" spans="1:6" x14ac:dyDescent="0.25">
      <c r="A2206" s="1">
        <v>42009</v>
      </c>
      <c r="B2206">
        <v>9243</v>
      </c>
      <c r="C2206">
        <v>9276</v>
      </c>
      <c r="D2206">
        <v>9156</v>
      </c>
      <c r="E2206">
        <v>9251</v>
      </c>
      <c r="F2206">
        <v>9277.2000000000007</v>
      </c>
    </row>
    <row r="2207" spans="1:6" x14ac:dyDescent="0.25">
      <c r="A2207" s="1">
        <v>42010</v>
      </c>
      <c r="B2207">
        <v>9147</v>
      </c>
      <c r="C2207">
        <v>9153</v>
      </c>
      <c r="D2207">
        <v>9018</v>
      </c>
      <c r="E2207">
        <v>9056</v>
      </c>
      <c r="F2207">
        <v>9237</v>
      </c>
    </row>
    <row r="2208" spans="1:6" x14ac:dyDescent="0.25">
      <c r="A2208" s="1">
        <v>42011</v>
      </c>
      <c r="B2208">
        <v>9043</v>
      </c>
      <c r="C2208">
        <v>9093</v>
      </c>
      <c r="D2208">
        <v>9033</v>
      </c>
      <c r="E2208">
        <v>9046</v>
      </c>
      <c r="F2208">
        <v>9184</v>
      </c>
    </row>
    <row r="2209" spans="1:6" x14ac:dyDescent="0.25">
      <c r="A2209" s="1">
        <v>42012</v>
      </c>
      <c r="B2209">
        <v>9115</v>
      </c>
      <c r="C2209">
        <v>9259</v>
      </c>
      <c r="D2209">
        <v>9115</v>
      </c>
      <c r="E2209">
        <v>9258</v>
      </c>
      <c r="F2209">
        <v>9178.4</v>
      </c>
    </row>
    <row r="2210" spans="1:6" x14ac:dyDescent="0.25">
      <c r="A2210" s="1">
        <v>42013</v>
      </c>
      <c r="B2210">
        <v>9333</v>
      </c>
      <c r="C2210">
        <v>9335</v>
      </c>
      <c r="D2210">
        <v>9218</v>
      </c>
      <c r="E2210">
        <v>9231</v>
      </c>
      <c r="F2210">
        <v>9168.4</v>
      </c>
    </row>
    <row r="2211" spans="1:6" x14ac:dyDescent="0.25">
      <c r="A2211" s="1">
        <v>42016</v>
      </c>
      <c r="B2211">
        <v>9188</v>
      </c>
      <c r="C2211">
        <v>9239</v>
      </c>
      <c r="D2211">
        <v>9158</v>
      </c>
      <c r="E2211">
        <v>9186</v>
      </c>
      <c r="F2211">
        <v>9155.4</v>
      </c>
    </row>
    <row r="2212" spans="1:6" x14ac:dyDescent="0.25">
      <c r="A2212" s="1">
        <v>42017</v>
      </c>
      <c r="B2212">
        <v>9191</v>
      </c>
      <c r="C2212">
        <v>9275</v>
      </c>
      <c r="D2212">
        <v>9159</v>
      </c>
      <c r="E2212">
        <v>9252</v>
      </c>
      <c r="F2212">
        <v>9194.6</v>
      </c>
    </row>
    <row r="2213" spans="1:6" x14ac:dyDescent="0.25">
      <c r="A2213" s="1">
        <v>42018</v>
      </c>
      <c r="B2213">
        <v>9238</v>
      </c>
      <c r="C2213">
        <v>9247</v>
      </c>
      <c r="D2213">
        <v>9152</v>
      </c>
      <c r="E2213">
        <v>9171</v>
      </c>
      <c r="F2213">
        <v>9219.6</v>
      </c>
    </row>
    <row r="2214" spans="1:6" x14ac:dyDescent="0.25">
      <c r="A2214" s="1">
        <v>42019</v>
      </c>
      <c r="B2214">
        <v>9186</v>
      </c>
      <c r="C2214">
        <v>9229</v>
      </c>
      <c r="D2214">
        <v>9130</v>
      </c>
      <c r="E2214">
        <v>9198</v>
      </c>
      <c r="F2214">
        <v>9207.6</v>
      </c>
    </row>
    <row r="2215" spans="1:6" x14ac:dyDescent="0.25">
      <c r="A2215" s="1">
        <v>42020</v>
      </c>
      <c r="B2215">
        <v>9174</v>
      </c>
      <c r="C2215">
        <v>9229</v>
      </c>
      <c r="D2215">
        <v>9081</v>
      </c>
      <c r="E2215">
        <v>9118</v>
      </c>
      <c r="F2215">
        <v>9185</v>
      </c>
    </row>
    <row r="2216" spans="1:6" x14ac:dyDescent="0.25">
      <c r="A2216" s="1">
        <v>42023</v>
      </c>
      <c r="B2216">
        <v>9208</v>
      </c>
      <c r="C2216">
        <v>9259</v>
      </c>
      <c r="D2216">
        <v>9141</v>
      </c>
      <c r="E2216">
        <v>9183</v>
      </c>
      <c r="F2216">
        <v>9184.4</v>
      </c>
    </row>
    <row r="2217" spans="1:6" x14ac:dyDescent="0.25">
      <c r="A2217" s="1">
        <v>42024</v>
      </c>
      <c r="B2217">
        <v>9222</v>
      </c>
      <c r="C2217">
        <v>9270</v>
      </c>
      <c r="D2217">
        <v>9182</v>
      </c>
      <c r="E2217">
        <v>9269</v>
      </c>
      <c r="F2217">
        <v>9187.7999999999993</v>
      </c>
    </row>
    <row r="2218" spans="1:6" x14ac:dyDescent="0.25">
      <c r="A2218" s="1">
        <v>42025</v>
      </c>
      <c r="B2218">
        <v>9280</v>
      </c>
      <c r="C2218">
        <v>9317</v>
      </c>
      <c r="D2218">
        <v>9273</v>
      </c>
      <c r="E2218">
        <v>9308</v>
      </c>
      <c r="F2218">
        <v>9215.2000000000007</v>
      </c>
    </row>
    <row r="2219" spans="1:6" x14ac:dyDescent="0.25">
      <c r="A2219" s="1">
        <v>42026</v>
      </c>
      <c r="B2219">
        <v>9357</v>
      </c>
      <c r="C2219">
        <v>9404</v>
      </c>
      <c r="D2219">
        <v>9342</v>
      </c>
      <c r="E2219">
        <v>9388</v>
      </c>
      <c r="F2219">
        <v>9253.2000000000007</v>
      </c>
    </row>
    <row r="2220" spans="1:6" x14ac:dyDescent="0.25">
      <c r="A2220" s="1">
        <v>42027</v>
      </c>
      <c r="B2220">
        <v>9450</v>
      </c>
      <c r="C2220">
        <v>9488</v>
      </c>
      <c r="D2220">
        <v>9443</v>
      </c>
      <c r="E2220">
        <v>9464</v>
      </c>
      <c r="F2220">
        <v>9322.4</v>
      </c>
    </row>
    <row r="2221" spans="1:6" x14ac:dyDescent="0.25">
      <c r="A2221" s="1">
        <v>42030</v>
      </c>
      <c r="B2221">
        <v>9446</v>
      </c>
      <c r="C2221">
        <v>9479</v>
      </c>
      <c r="D2221">
        <v>9432</v>
      </c>
      <c r="E2221">
        <v>9465</v>
      </c>
      <c r="F2221">
        <v>9378.7999999999993</v>
      </c>
    </row>
    <row r="2222" spans="1:6" x14ac:dyDescent="0.25">
      <c r="A2222" s="1">
        <v>42031</v>
      </c>
      <c r="B2222">
        <v>9522</v>
      </c>
      <c r="C2222">
        <v>9539</v>
      </c>
      <c r="D2222">
        <v>9480</v>
      </c>
      <c r="E2222">
        <v>9524</v>
      </c>
      <c r="F2222">
        <v>9429.7999999999993</v>
      </c>
    </row>
    <row r="2223" spans="1:6" x14ac:dyDescent="0.25">
      <c r="A2223" s="1">
        <v>42032</v>
      </c>
      <c r="B2223">
        <v>9475</v>
      </c>
      <c r="C2223">
        <v>9535</v>
      </c>
      <c r="D2223">
        <v>9473</v>
      </c>
      <c r="E2223">
        <v>9529</v>
      </c>
      <c r="F2223">
        <v>9474</v>
      </c>
    </row>
    <row r="2224" spans="1:6" x14ac:dyDescent="0.25">
      <c r="A2224" s="1">
        <v>42033</v>
      </c>
      <c r="B2224">
        <v>9495</v>
      </c>
      <c r="C2224">
        <v>9503</v>
      </c>
      <c r="D2224">
        <v>9426</v>
      </c>
      <c r="E2224">
        <v>9428</v>
      </c>
      <c r="F2224">
        <v>9482</v>
      </c>
    </row>
    <row r="2225" spans="1:6" x14ac:dyDescent="0.25">
      <c r="A2225" s="1">
        <v>42034</v>
      </c>
      <c r="B2225">
        <v>9457</v>
      </c>
      <c r="C2225">
        <v>9472</v>
      </c>
      <c r="D2225">
        <v>9385</v>
      </c>
      <c r="E2225">
        <v>9398</v>
      </c>
      <c r="F2225">
        <v>9468.7999999999993</v>
      </c>
    </row>
    <row r="2226" spans="1:6" x14ac:dyDescent="0.25">
      <c r="A2226" s="1">
        <v>42037</v>
      </c>
      <c r="B2226">
        <v>9387</v>
      </c>
      <c r="C2226">
        <v>9433</v>
      </c>
      <c r="D2226">
        <v>9370</v>
      </c>
      <c r="E2226">
        <v>9422</v>
      </c>
      <c r="F2226">
        <v>9460.2000000000007</v>
      </c>
    </row>
    <row r="2227" spans="1:6" x14ac:dyDescent="0.25">
      <c r="A2227" s="1">
        <v>42038</v>
      </c>
      <c r="B2227">
        <v>9439</v>
      </c>
      <c r="C2227">
        <v>9485</v>
      </c>
      <c r="D2227">
        <v>9407</v>
      </c>
      <c r="E2227">
        <v>9464</v>
      </c>
      <c r="F2227">
        <v>9448.2000000000007</v>
      </c>
    </row>
    <row r="2228" spans="1:6" x14ac:dyDescent="0.25">
      <c r="A2228" s="1">
        <v>42039</v>
      </c>
      <c r="B2228">
        <v>9526</v>
      </c>
      <c r="C2228">
        <v>9557</v>
      </c>
      <c r="D2228">
        <v>9511</v>
      </c>
      <c r="E2228">
        <v>9523</v>
      </c>
      <c r="F2228">
        <v>9447</v>
      </c>
    </row>
    <row r="2229" spans="1:6" x14ac:dyDescent="0.25">
      <c r="A2229" s="1">
        <v>42040</v>
      </c>
      <c r="B2229">
        <v>9520</v>
      </c>
      <c r="C2229">
        <v>9520</v>
      </c>
      <c r="D2229">
        <v>9470</v>
      </c>
      <c r="E2229">
        <v>9514</v>
      </c>
      <c r="F2229">
        <v>9464.2000000000007</v>
      </c>
    </row>
    <row r="2230" spans="1:6" x14ac:dyDescent="0.25">
      <c r="A2230" s="1">
        <v>42041</v>
      </c>
      <c r="B2230">
        <v>9541</v>
      </c>
      <c r="C2230">
        <v>9543</v>
      </c>
      <c r="D2230">
        <v>9459</v>
      </c>
      <c r="E2230">
        <v>9467</v>
      </c>
      <c r="F2230">
        <v>9478</v>
      </c>
    </row>
    <row r="2231" spans="1:6" x14ac:dyDescent="0.25">
      <c r="A2231" s="1">
        <v>42044</v>
      </c>
      <c r="B2231">
        <v>9436</v>
      </c>
      <c r="C2231">
        <v>9465</v>
      </c>
      <c r="D2231">
        <v>9415</v>
      </c>
      <c r="E2231">
        <v>9450</v>
      </c>
      <c r="F2231">
        <v>9483.6</v>
      </c>
    </row>
    <row r="2232" spans="1:6" x14ac:dyDescent="0.25">
      <c r="A2232" s="1">
        <v>42045</v>
      </c>
      <c r="B2232">
        <v>9470</v>
      </c>
      <c r="C2232">
        <v>9474</v>
      </c>
      <c r="D2232">
        <v>9418</v>
      </c>
      <c r="E2232">
        <v>9435</v>
      </c>
      <c r="F2232">
        <v>9477.7999999999993</v>
      </c>
    </row>
    <row r="2233" spans="1:6" x14ac:dyDescent="0.25">
      <c r="A2233" s="1">
        <v>42046</v>
      </c>
      <c r="B2233">
        <v>9460</v>
      </c>
      <c r="C2233">
        <v>9510</v>
      </c>
      <c r="D2233">
        <v>9457</v>
      </c>
      <c r="E2233">
        <v>9480</v>
      </c>
      <c r="F2233">
        <v>9469.2000000000007</v>
      </c>
    </row>
    <row r="2234" spans="1:6" x14ac:dyDescent="0.25">
      <c r="A2234" s="1">
        <v>42047</v>
      </c>
      <c r="B2234">
        <v>9495</v>
      </c>
      <c r="C2234">
        <v>9500</v>
      </c>
      <c r="D2234">
        <v>9462</v>
      </c>
      <c r="E2234">
        <v>9484</v>
      </c>
      <c r="F2234">
        <v>9463.2000000000007</v>
      </c>
    </row>
    <row r="2235" spans="1:6" x14ac:dyDescent="0.25">
      <c r="A2235" s="1">
        <v>42048</v>
      </c>
      <c r="B2235">
        <v>9512</v>
      </c>
      <c r="C2235">
        <v>9549</v>
      </c>
      <c r="D2235">
        <v>9505</v>
      </c>
      <c r="E2235">
        <v>9516</v>
      </c>
      <c r="F2235">
        <v>9473</v>
      </c>
    </row>
    <row r="2236" spans="1:6" x14ac:dyDescent="0.25">
      <c r="A2236" s="1">
        <v>42059</v>
      </c>
      <c r="B2236">
        <v>9580</v>
      </c>
      <c r="C2236">
        <v>9640</v>
      </c>
      <c r="D2236">
        <v>9579</v>
      </c>
      <c r="E2236">
        <v>9623</v>
      </c>
      <c r="F2236">
        <v>9507.6</v>
      </c>
    </row>
    <row r="2237" spans="1:6" x14ac:dyDescent="0.25">
      <c r="A2237" s="1">
        <v>42060</v>
      </c>
      <c r="B2237">
        <v>9696</v>
      </c>
      <c r="C2237">
        <v>9696</v>
      </c>
      <c r="D2237">
        <v>9660</v>
      </c>
      <c r="E2237">
        <v>9683</v>
      </c>
      <c r="F2237">
        <v>9557.2000000000007</v>
      </c>
    </row>
    <row r="2238" spans="1:6" x14ac:dyDescent="0.25">
      <c r="A2238" s="1">
        <v>42061</v>
      </c>
      <c r="B2238">
        <v>9687</v>
      </c>
      <c r="C2238">
        <v>9691</v>
      </c>
      <c r="D2238">
        <v>9634</v>
      </c>
      <c r="E2238">
        <v>9649</v>
      </c>
      <c r="F2238">
        <v>9591</v>
      </c>
    </row>
    <row r="2239" spans="1:6" x14ac:dyDescent="0.25">
      <c r="A2239" s="1">
        <v>42065</v>
      </c>
      <c r="B2239">
        <v>9655</v>
      </c>
      <c r="C2239">
        <v>9683</v>
      </c>
      <c r="D2239">
        <v>9616</v>
      </c>
      <c r="E2239">
        <v>9631</v>
      </c>
      <c r="F2239">
        <v>9620.4</v>
      </c>
    </row>
    <row r="2240" spans="1:6" x14ac:dyDescent="0.25">
      <c r="A2240" s="1">
        <v>42066</v>
      </c>
      <c r="B2240">
        <v>9645</v>
      </c>
      <c r="C2240">
        <v>9658</v>
      </c>
      <c r="D2240">
        <v>9581</v>
      </c>
      <c r="E2240">
        <v>9615</v>
      </c>
      <c r="F2240">
        <v>9640.2000000000007</v>
      </c>
    </row>
    <row r="2241" spans="1:6" x14ac:dyDescent="0.25">
      <c r="A2241" s="1">
        <v>42067</v>
      </c>
      <c r="B2241">
        <v>9580</v>
      </c>
      <c r="C2241">
        <v>9638</v>
      </c>
      <c r="D2241">
        <v>9571</v>
      </c>
      <c r="E2241">
        <v>9622</v>
      </c>
      <c r="F2241">
        <v>9640</v>
      </c>
    </row>
    <row r="2242" spans="1:6" x14ac:dyDescent="0.25">
      <c r="A2242" s="1">
        <v>42068</v>
      </c>
      <c r="B2242">
        <v>9622</v>
      </c>
      <c r="C2242">
        <v>9633</v>
      </c>
      <c r="D2242">
        <v>9551</v>
      </c>
      <c r="E2242">
        <v>9589</v>
      </c>
      <c r="F2242">
        <v>9621.2000000000007</v>
      </c>
    </row>
    <row r="2243" spans="1:6" x14ac:dyDescent="0.25">
      <c r="A2243" s="1">
        <v>42069</v>
      </c>
      <c r="B2243">
        <v>9592</v>
      </c>
      <c r="C2243">
        <v>9643</v>
      </c>
      <c r="D2243">
        <v>9566</v>
      </c>
      <c r="E2243">
        <v>9638</v>
      </c>
      <c r="F2243">
        <v>9619</v>
      </c>
    </row>
    <row r="2244" spans="1:6" x14ac:dyDescent="0.25">
      <c r="A2244" s="1">
        <v>42072</v>
      </c>
      <c r="B2244">
        <v>9583</v>
      </c>
      <c r="C2244">
        <v>9595</v>
      </c>
      <c r="D2244">
        <v>9548</v>
      </c>
      <c r="E2244">
        <v>9575</v>
      </c>
      <c r="F2244">
        <v>9607.7999999999993</v>
      </c>
    </row>
    <row r="2245" spans="1:6" x14ac:dyDescent="0.25">
      <c r="A2245" s="1">
        <v>42073</v>
      </c>
      <c r="B2245">
        <v>9575</v>
      </c>
      <c r="C2245">
        <v>9585</v>
      </c>
      <c r="D2245">
        <v>9514</v>
      </c>
      <c r="E2245">
        <v>9529</v>
      </c>
      <c r="F2245">
        <v>9590.6</v>
      </c>
    </row>
    <row r="2246" spans="1:6" x14ac:dyDescent="0.25">
      <c r="A2246" s="1">
        <v>42074</v>
      </c>
      <c r="B2246">
        <v>9464</v>
      </c>
      <c r="C2246">
        <v>9545</v>
      </c>
      <c r="D2246">
        <v>9450</v>
      </c>
      <c r="E2246">
        <v>9521</v>
      </c>
      <c r="F2246">
        <v>9570.4</v>
      </c>
    </row>
    <row r="2247" spans="1:6" x14ac:dyDescent="0.25">
      <c r="A2247" s="1">
        <v>42075</v>
      </c>
      <c r="B2247">
        <v>9528</v>
      </c>
      <c r="C2247">
        <v>9610</v>
      </c>
      <c r="D2247">
        <v>9508</v>
      </c>
      <c r="E2247">
        <v>9610</v>
      </c>
      <c r="F2247">
        <v>9574.6</v>
      </c>
    </row>
    <row r="2248" spans="1:6" x14ac:dyDescent="0.25">
      <c r="A2248" s="1">
        <v>42076</v>
      </c>
      <c r="B2248">
        <v>9617</v>
      </c>
      <c r="C2248">
        <v>9633</v>
      </c>
      <c r="D2248">
        <v>9583</v>
      </c>
      <c r="E2248">
        <v>9597</v>
      </c>
      <c r="F2248">
        <v>9566.4</v>
      </c>
    </row>
    <row r="2249" spans="1:6" x14ac:dyDescent="0.25">
      <c r="A2249" s="1">
        <v>42079</v>
      </c>
      <c r="B2249">
        <v>9586</v>
      </c>
      <c r="C2249">
        <v>9594</v>
      </c>
      <c r="D2249">
        <v>9535</v>
      </c>
      <c r="E2249">
        <v>9544</v>
      </c>
      <c r="F2249">
        <v>9560.2000000000007</v>
      </c>
    </row>
    <row r="2250" spans="1:6" x14ac:dyDescent="0.25">
      <c r="A2250" s="1">
        <v>42080</v>
      </c>
      <c r="B2250">
        <v>9580</v>
      </c>
      <c r="C2250">
        <v>9645</v>
      </c>
      <c r="D2250">
        <v>9548</v>
      </c>
      <c r="E2250">
        <v>9555</v>
      </c>
      <c r="F2250">
        <v>9565.4</v>
      </c>
    </row>
    <row r="2251" spans="1:6" x14ac:dyDescent="0.25">
      <c r="A2251" s="1">
        <v>42081</v>
      </c>
      <c r="B2251">
        <v>9556</v>
      </c>
      <c r="C2251">
        <v>9648</v>
      </c>
      <c r="D2251">
        <v>9556</v>
      </c>
      <c r="E2251">
        <v>9633</v>
      </c>
      <c r="F2251">
        <v>9587.7999999999993</v>
      </c>
    </row>
    <row r="2252" spans="1:6" x14ac:dyDescent="0.25">
      <c r="A2252" s="1">
        <v>42082</v>
      </c>
      <c r="B2252">
        <v>9737</v>
      </c>
      <c r="C2252">
        <v>9769</v>
      </c>
      <c r="D2252">
        <v>9707</v>
      </c>
      <c r="E2252">
        <v>9767</v>
      </c>
      <c r="F2252">
        <v>9619.2000000000007</v>
      </c>
    </row>
    <row r="2253" spans="1:6" x14ac:dyDescent="0.25">
      <c r="A2253" s="1">
        <v>42083</v>
      </c>
      <c r="B2253">
        <v>9741</v>
      </c>
      <c r="C2253">
        <v>9769</v>
      </c>
      <c r="D2253">
        <v>9733</v>
      </c>
      <c r="E2253">
        <v>9758</v>
      </c>
      <c r="F2253">
        <v>9651.4</v>
      </c>
    </row>
    <row r="2254" spans="1:6" x14ac:dyDescent="0.25">
      <c r="A2254" s="1">
        <v>42086</v>
      </c>
      <c r="B2254">
        <v>9759</v>
      </c>
      <c r="C2254">
        <v>9770</v>
      </c>
      <c r="D2254">
        <v>9726</v>
      </c>
      <c r="E2254">
        <v>9750</v>
      </c>
      <c r="F2254">
        <v>9692.6</v>
      </c>
    </row>
    <row r="2255" spans="1:6" x14ac:dyDescent="0.25">
      <c r="A2255" s="1">
        <v>42087</v>
      </c>
      <c r="B2255">
        <v>9728</v>
      </c>
      <c r="C2255">
        <v>9754</v>
      </c>
      <c r="D2255">
        <v>9696</v>
      </c>
      <c r="E2255">
        <v>9719</v>
      </c>
      <c r="F2255">
        <v>9725.4</v>
      </c>
    </row>
    <row r="2256" spans="1:6" x14ac:dyDescent="0.25">
      <c r="A2256" s="1">
        <v>42088</v>
      </c>
      <c r="B2256">
        <v>9720</v>
      </c>
      <c r="C2256">
        <v>9730</v>
      </c>
      <c r="D2256">
        <v>9673</v>
      </c>
      <c r="E2256">
        <v>9688</v>
      </c>
      <c r="F2256">
        <v>9736.4</v>
      </c>
    </row>
    <row r="2257" spans="1:6" x14ac:dyDescent="0.25">
      <c r="A2257" s="1">
        <v>42089</v>
      </c>
      <c r="B2257">
        <v>9590</v>
      </c>
      <c r="C2257">
        <v>9635</v>
      </c>
      <c r="D2257">
        <v>9568</v>
      </c>
      <c r="E2257">
        <v>9611</v>
      </c>
      <c r="F2257">
        <v>9705.2000000000007</v>
      </c>
    </row>
    <row r="2258" spans="1:6" x14ac:dyDescent="0.25">
      <c r="A2258" s="1">
        <v>42090</v>
      </c>
      <c r="B2258">
        <v>9611</v>
      </c>
      <c r="C2258">
        <v>9627</v>
      </c>
      <c r="D2258">
        <v>9525</v>
      </c>
      <c r="E2258">
        <v>9542</v>
      </c>
      <c r="F2258">
        <v>9662</v>
      </c>
    </row>
    <row r="2259" spans="1:6" x14ac:dyDescent="0.25">
      <c r="A2259" s="1">
        <v>42093</v>
      </c>
      <c r="B2259">
        <v>9511</v>
      </c>
      <c r="C2259">
        <v>9562</v>
      </c>
      <c r="D2259">
        <v>9510</v>
      </c>
      <c r="E2259">
        <v>9556</v>
      </c>
      <c r="F2259">
        <v>9623.2000000000007</v>
      </c>
    </row>
    <row r="2260" spans="1:6" x14ac:dyDescent="0.25">
      <c r="A2260" s="1">
        <v>42094</v>
      </c>
      <c r="B2260">
        <v>9602</v>
      </c>
      <c r="C2260">
        <v>9610</v>
      </c>
      <c r="D2260">
        <v>9544</v>
      </c>
      <c r="E2260">
        <v>9583</v>
      </c>
      <c r="F2260">
        <v>9596</v>
      </c>
    </row>
    <row r="2261" spans="1:6" x14ac:dyDescent="0.25">
      <c r="A2261" s="1">
        <v>42095</v>
      </c>
      <c r="B2261">
        <v>9545</v>
      </c>
      <c r="C2261">
        <v>9552</v>
      </c>
      <c r="D2261">
        <v>9487</v>
      </c>
      <c r="E2261">
        <v>9507</v>
      </c>
      <c r="F2261">
        <v>9559.7999999999993</v>
      </c>
    </row>
    <row r="2262" spans="1:6" x14ac:dyDescent="0.25">
      <c r="A2262" s="1">
        <v>42096</v>
      </c>
      <c r="B2262">
        <v>9535</v>
      </c>
      <c r="C2262">
        <v>9630</v>
      </c>
      <c r="D2262">
        <v>9534</v>
      </c>
      <c r="E2262">
        <v>9616</v>
      </c>
      <c r="F2262">
        <v>9560.7999999999993</v>
      </c>
    </row>
    <row r="2263" spans="1:6" x14ac:dyDescent="0.25">
      <c r="A2263" s="1">
        <v>42101</v>
      </c>
      <c r="B2263">
        <v>9650</v>
      </c>
      <c r="C2263">
        <v>9660</v>
      </c>
      <c r="D2263">
        <v>9611</v>
      </c>
      <c r="E2263">
        <v>9629</v>
      </c>
      <c r="F2263">
        <v>9578.2000000000007</v>
      </c>
    </row>
    <row r="2264" spans="1:6" x14ac:dyDescent="0.25">
      <c r="A2264" s="1">
        <v>42102</v>
      </c>
      <c r="B2264">
        <v>9630</v>
      </c>
      <c r="C2264">
        <v>9635</v>
      </c>
      <c r="D2264">
        <v>9558</v>
      </c>
      <c r="E2264">
        <v>9570</v>
      </c>
      <c r="F2264">
        <v>9581</v>
      </c>
    </row>
    <row r="2265" spans="1:6" x14ac:dyDescent="0.25">
      <c r="A2265" s="1">
        <v>42103</v>
      </c>
      <c r="B2265">
        <v>9576</v>
      </c>
      <c r="C2265">
        <v>9675</v>
      </c>
      <c r="D2265">
        <v>9563</v>
      </c>
      <c r="E2265">
        <v>9572</v>
      </c>
      <c r="F2265">
        <v>9578.7999999999993</v>
      </c>
    </row>
    <row r="2266" spans="1:6" x14ac:dyDescent="0.25">
      <c r="A2266" s="1">
        <v>42104</v>
      </c>
      <c r="B2266">
        <v>9625</v>
      </c>
      <c r="C2266">
        <v>9665</v>
      </c>
      <c r="D2266">
        <v>9591</v>
      </c>
      <c r="E2266">
        <v>9633</v>
      </c>
      <c r="F2266">
        <v>9604</v>
      </c>
    </row>
    <row r="2267" spans="1:6" x14ac:dyDescent="0.25">
      <c r="A2267" s="1">
        <v>42107</v>
      </c>
      <c r="B2267">
        <v>9670</v>
      </c>
      <c r="C2267">
        <v>9683</v>
      </c>
      <c r="D2267">
        <v>9633</v>
      </c>
      <c r="E2267">
        <v>9657</v>
      </c>
      <c r="F2267">
        <v>9612.2000000000007</v>
      </c>
    </row>
    <row r="2268" spans="1:6" x14ac:dyDescent="0.25">
      <c r="A2268" s="1">
        <v>42108</v>
      </c>
      <c r="B2268">
        <v>9641</v>
      </c>
      <c r="C2268">
        <v>9673</v>
      </c>
      <c r="D2268">
        <v>9626</v>
      </c>
      <c r="E2268">
        <v>9645</v>
      </c>
      <c r="F2268">
        <v>9615.4</v>
      </c>
    </row>
    <row r="2269" spans="1:6" x14ac:dyDescent="0.25">
      <c r="A2269" s="1">
        <v>42109</v>
      </c>
      <c r="B2269">
        <v>9628</v>
      </c>
      <c r="C2269">
        <v>9655</v>
      </c>
      <c r="D2269">
        <v>9507</v>
      </c>
      <c r="E2269">
        <v>9520</v>
      </c>
      <c r="F2269">
        <v>9605.4</v>
      </c>
    </row>
    <row r="2270" spans="1:6" x14ac:dyDescent="0.25">
      <c r="A2270" s="1">
        <v>42110</v>
      </c>
      <c r="B2270">
        <v>9560</v>
      </c>
      <c r="C2270">
        <v>9648</v>
      </c>
      <c r="D2270">
        <v>9548</v>
      </c>
      <c r="E2270">
        <v>9646</v>
      </c>
      <c r="F2270">
        <v>9620.2000000000007</v>
      </c>
    </row>
    <row r="2271" spans="1:6" x14ac:dyDescent="0.25">
      <c r="A2271" s="1">
        <v>42111</v>
      </c>
      <c r="B2271">
        <v>9619</v>
      </c>
      <c r="C2271">
        <v>9630</v>
      </c>
      <c r="D2271">
        <v>9568</v>
      </c>
      <c r="E2271">
        <v>9582</v>
      </c>
      <c r="F2271">
        <v>9610</v>
      </c>
    </row>
    <row r="2272" spans="1:6" x14ac:dyDescent="0.25">
      <c r="A2272" s="1">
        <v>42114</v>
      </c>
      <c r="B2272">
        <v>9526</v>
      </c>
      <c r="C2272">
        <v>9583</v>
      </c>
      <c r="D2272">
        <v>9506</v>
      </c>
      <c r="E2272">
        <v>9565</v>
      </c>
      <c r="F2272">
        <v>9591.6</v>
      </c>
    </row>
    <row r="2273" spans="1:6" x14ac:dyDescent="0.25">
      <c r="A2273" s="1">
        <v>42115</v>
      </c>
      <c r="B2273">
        <v>9588</v>
      </c>
      <c r="C2273">
        <v>9613</v>
      </c>
      <c r="D2273">
        <v>9534</v>
      </c>
      <c r="E2273">
        <v>9556</v>
      </c>
      <c r="F2273">
        <v>9573.7999999999993</v>
      </c>
    </row>
    <row r="2274" spans="1:6" x14ac:dyDescent="0.25">
      <c r="A2274" s="1">
        <v>42116</v>
      </c>
      <c r="B2274">
        <v>9558</v>
      </c>
      <c r="C2274">
        <v>9636</v>
      </c>
      <c r="D2274">
        <v>9557</v>
      </c>
      <c r="E2274">
        <v>9614</v>
      </c>
      <c r="F2274">
        <v>9592.6</v>
      </c>
    </row>
    <row r="2275" spans="1:6" x14ac:dyDescent="0.25">
      <c r="A2275" s="1">
        <v>42117</v>
      </c>
      <c r="B2275">
        <v>9657</v>
      </c>
      <c r="C2275">
        <v>9853</v>
      </c>
      <c r="D2275">
        <v>9652</v>
      </c>
      <c r="E2275">
        <v>9838</v>
      </c>
      <c r="F2275">
        <v>9631</v>
      </c>
    </row>
    <row r="2276" spans="1:6" x14ac:dyDescent="0.25">
      <c r="A2276" s="1">
        <v>42118</v>
      </c>
      <c r="B2276">
        <v>9880</v>
      </c>
      <c r="C2276">
        <v>9999</v>
      </c>
      <c r="D2276">
        <v>9861</v>
      </c>
      <c r="E2276">
        <v>9920</v>
      </c>
      <c r="F2276">
        <v>9698.6</v>
      </c>
    </row>
    <row r="2277" spans="1:6" x14ac:dyDescent="0.25">
      <c r="A2277" s="1">
        <v>42121</v>
      </c>
      <c r="B2277">
        <v>9952</v>
      </c>
      <c r="C2277">
        <v>10031</v>
      </c>
      <c r="D2277">
        <v>9946</v>
      </c>
      <c r="E2277">
        <v>10020</v>
      </c>
      <c r="F2277">
        <v>9789.6</v>
      </c>
    </row>
    <row r="2278" spans="1:6" x14ac:dyDescent="0.25">
      <c r="A2278" s="1">
        <v>42122</v>
      </c>
      <c r="B2278">
        <v>10022</v>
      </c>
      <c r="C2278">
        <v>10032</v>
      </c>
      <c r="D2278">
        <v>9963</v>
      </c>
      <c r="E2278">
        <v>9989</v>
      </c>
      <c r="F2278">
        <v>9876.2000000000007</v>
      </c>
    </row>
    <row r="2279" spans="1:6" x14ac:dyDescent="0.25">
      <c r="A2279" s="1">
        <v>42123</v>
      </c>
      <c r="B2279">
        <v>9976</v>
      </c>
      <c r="C2279">
        <v>10023</v>
      </c>
      <c r="D2279">
        <v>9882</v>
      </c>
      <c r="E2279">
        <v>9906</v>
      </c>
      <c r="F2279">
        <v>9934.6</v>
      </c>
    </row>
    <row r="2280" spans="1:6" x14ac:dyDescent="0.25">
      <c r="A2280" s="1">
        <v>42124</v>
      </c>
      <c r="B2280">
        <v>9900</v>
      </c>
      <c r="C2280">
        <v>9930</v>
      </c>
      <c r="D2280">
        <v>9857</v>
      </c>
      <c r="E2280">
        <v>9875</v>
      </c>
      <c r="F2280">
        <v>9942</v>
      </c>
    </row>
    <row r="2281" spans="1:6" x14ac:dyDescent="0.25">
      <c r="A2281" s="1">
        <v>42128</v>
      </c>
      <c r="B2281">
        <v>9898</v>
      </c>
      <c r="C2281">
        <v>9911</v>
      </c>
      <c r="D2281">
        <v>9825</v>
      </c>
      <c r="E2281">
        <v>9885</v>
      </c>
      <c r="F2281">
        <v>9935</v>
      </c>
    </row>
    <row r="2282" spans="1:6" x14ac:dyDescent="0.25">
      <c r="A2282" s="1">
        <v>42129</v>
      </c>
      <c r="B2282">
        <v>9870</v>
      </c>
      <c r="C2282">
        <v>9878</v>
      </c>
      <c r="D2282">
        <v>9815</v>
      </c>
      <c r="E2282">
        <v>9847</v>
      </c>
      <c r="F2282">
        <v>9900.4</v>
      </c>
    </row>
    <row r="2283" spans="1:6" x14ac:dyDescent="0.25">
      <c r="A2283" s="1">
        <v>42130</v>
      </c>
      <c r="B2283">
        <v>9797</v>
      </c>
      <c r="C2283">
        <v>9865</v>
      </c>
      <c r="D2283">
        <v>9763</v>
      </c>
      <c r="E2283">
        <v>9849</v>
      </c>
      <c r="F2283">
        <v>9872.4</v>
      </c>
    </row>
    <row r="2284" spans="1:6" x14ac:dyDescent="0.25">
      <c r="A2284" s="1">
        <v>42131</v>
      </c>
      <c r="B2284">
        <v>9790</v>
      </c>
      <c r="C2284">
        <v>9808</v>
      </c>
      <c r="D2284">
        <v>9745</v>
      </c>
      <c r="E2284">
        <v>9751</v>
      </c>
      <c r="F2284">
        <v>9841.4</v>
      </c>
    </row>
    <row r="2285" spans="1:6" x14ac:dyDescent="0.25">
      <c r="A2285" s="1">
        <v>42132</v>
      </c>
      <c r="B2285">
        <v>9769</v>
      </c>
      <c r="C2285">
        <v>9783</v>
      </c>
      <c r="D2285">
        <v>9713</v>
      </c>
      <c r="E2285">
        <v>9718</v>
      </c>
      <c r="F2285">
        <v>9810</v>
      </c>
    </row>
    <row r="2286" spans="1:6" x14ac:dyDescent="0.25">
      <c r="A2286" s="1">
        <v>42135</v>
      </c>
      <c r="B2286">
        <v>9798</v>
      </c>
      <c r="C2286">
        <v>9815</v>
      </c>
      <c r="D2286">
        <v>9658</v>
      </c>
      <c r="E2286">
        <v>9723</v>
      </c>
      <c r="F2286">
        <v>9777.6</v>
      </c>
    </row>
    <row r="2287" spans="1:6" x14ac:dyDescent="0.25">
      <c r="A2287" s="1">
        <v>42136</v>
      </c>
      <c r="B2287">
        <v>9706</v>
      </c>
      <c r="C2287">
        <v>9748</v>
      </c>
      <c r="D2287">
        <v>9672</v>
      </c>
      <c r="E2287">
        <v>9707</v>
      </c>
      <c r="F2287">
        <v>9749.6</v>
      </c>
    </row>
    <row r="2288" spans="1:6" x14ac:dyDescent="0.25">
      <c r="A2288" s="1">
        <v>42137</v>
      </c>
      <c r="B2288">
        <v>9712</v>
      </c>
      <c r="C2288">
        <v>9775</v>
      </c>
      <c r="D2288">
        <v>9697</v>
      </c>
      <c r="E2288">
        <v>9739</v>
      </c>
      <c r="F2288">
        <v>9727.6</v>
      </c>
    </row>
    <row r="2289" spans="1:6" x14ac:dyDescent="0.25">
      <c r="A2289" s="1">
        <v>42138</v>
      </c>
      <c r="B2289">
        <v>9736</v>
      </c>
      <c r="C2289">
        <v>9740</v>
      </c>
      <c r="D2289">
        <v>9599</v>
      </c>
      <c r="E2289">
        <v>9604</v>
      </c>
      <c r="F2289">
        <v>9698.2000000000007</v>
      </c>
    </row>
    <row r="2290" spans="1:6" x14ac:dyDescent="0.25">
      <c r="A2290" s="1">
        <v>42139</v>
      </c>
      <c r="B2290">
        <v>9637</v>
      </c>
      <c r="C2290">
        <v>9643</v>
      </c>
      <c r="D2290">
        <v>9541</v>
      </c>
      <c r="E2290">
        <v>9576</v>
      </c>
      <c r="F2290">
        <v>9669.7999999999993</v>
      </c>
    </row>
    <row r="2291" spans="1:6" x14ac:dyDescent="0.25">
      <c r="A2291" s="1">
        <v>42142</v>
      </c>
      <c r="B2291">
        <v>9613</v>
      </c>
      <c r="C2291">
        <v>9614</v>
      </c>
      <c r="D2291">
        <v>9551</v>
      </c>
      <c r="E2291">
        <v>9600</v>
      </c>
      <c r="F2291">
        <v>9645.2000000000007</v>
      </c>
    </row>
    <row r="2292" spans="1:6" x14ac:dyDescent="0.25">
      <c r="A2292" s="1">
        <v>42143</v>
      </c>
      <c r="B2292">
        <v>9613</v>
      </c>
      <c r="C2292">
        <v>9722</v>
      </c>
      <c r="D2292">
        <v>9602</v>
      </c>
      <c r="E2292">
        <v>9703</v>
      </c>
      <c r="F2292">
        <v>9644.4</v>
      </c>
    </row>
    <row r="2293" spans="1:6" x14ac:dyDescent="0.25">
      <c r="A2293" s="1">
        <v>42144</v>
      </c>
      <c r="B2293">
        <v>9701</v>
      </c>
      <c r="C2293">
        <v>9726</v>
      </c>
      <c r="D2293">
        <v>9656</v>
      </c>
      <c r="E2293">
        <v>9668</v>
      </c>
      <c r="F2293">
        <v>9630.2000000000007</v>
      </c>
    </row>
    <row r="2294" spans="1:6" x14ac:dyDescent="0.25">
      <c r="A2294" s="1">
        <v>42145</v>
      </c>
      <c r="B2294">
        <v>9649</v>
      </c>
      <c r="C2294">
        <v>9650</v>
      </c>
      <c r="D2294">
        <v>9514</v>
      </c>
      <c r="E2294">
        <v>9541</v>
      </c>
      <c r="F2294">
        <v>9617.6</v>
      </c>
    </row>
    <row r="2295" spans="1:6" x14ac:dyDescent="0.25">
      <c r="A2295" s="1">
        <v>42146</v>
      </c>
      <c r="B2295">
        <v>9559</v>
      </c>
      <c r="C2295">
        <v>9649</v>
      </c>
      <c r="D2295">
        <v>9546</v>
      </c>
      <c r="E2295">
        <v>9627</v>
      </c>
      <c r="F2295">
        <v>9627.7999999999993</v>
      </c>
    </row>
    <row r="2296" spans="1:6" x14ac:dyDescent="0.25">
      <c r="A2296" s="1">
        <v>42149</v>
      </c>
      <c r="B2296">
        <v>9605</v>
      </c>
      <c r="C2296">
        <v>9640</v>
      </c>
      <c r="D2296">
        <v>9550</v>
      </c>
      <c r="E2296">
        <v>9631</v>
      </c>
      <c r="F2296">
        <v>9634</v>
      </c>
    </row>
    <row r="2297" spans="1:6" x14ac:dyDescent="0.25">
      <c r="A2297" s="1">
        <v>42150</v>
      </c>
      <c r="B2297">
        <v>9612</v>
      </c>
      <c r="C2297">
        <v>9725</v>
      </c>
      <c r="D2297">
        <v>9606</v>
      </c>
      <c r="E2297">
        <v>9660</v>
      </c>
      <c r="F2297">
        <v>9625.4</v>
      </c>
    </row>
    <row r="2298" spans="1:6" x14ac:dyDescent="0.25">
      <c r="A2298" s="1">
        <v>42151</v>
      </c>
      <c r="B2298">
        <v>9608</v>
      </c>
      <c r="C2298">
        <v>9698</v>
      </c>
      <c r="D2298">
        <v>9600</v>
      </c>
      <c r="E2298">
        <v>9661</v>
      </c>
      <c r="F2298">
        <v>9624</v>
      </c>
    </row>
    <row r="2299" spans="1:6" x14ac:dyDescent="0.25">
      <c r="A2299" s="1">
        <v>42152</v>
      </c>
      <c r="B2299">
        <v>9710</v>
      </c>
      <c r="C2299">
        <v>9750</v>
      </c>
      <c r="D2299">
        <v>9683</v>
      </c>
      <c r="E2299">
        <v>9730</v>
      </c>
      <c r="F2299">
        <v>9661.7999999999993</v>
      </c>
    </row>
    <row r="2300" spans="1:6" x14ac:dyDescent="0.25">
      <c r="A2300" s="1">
        <v>42153</v>
      </c>
      <c r="B2300">
        <v>9736</v>
      </c>
      <c r="C2300">
        <v>9764</v>
      </c>
      <c r="D2300">
        <v>9688</v>
      </c>
      <c r="E2300">
        <v>9703</v>
      </c>
      <c r="F2300">
        <v>9677</v>
      </c>
    </row>
    <row r="2301" spans="1:6" x14ac:dyDescent="0.25">
      <c r="A2301" s="1">
        <v>42156</v>
      </c>
      <c r="B2301">
        <v>9667</v>
      </c>
      <c r="C2301">
        <v>9712</v>
      </c>
      <c r="D2301">
        <v>9602</v>
      </c>
      <c r="E2301">
        <v>9631</v>
      </c>
      <c r="F2301">
        <v>9677</v>
      </c>
    </row>
    <row r="2302" spans="1:6" x14ac:dyDescent="0.25">
      <c r="A2302" s="1">
        <v>42157</v>
      </c>
      <c r="B2302">
        <v>9592</v>
      </c>
      <c r="C2302">
        <v>9640</v>
      </c>
      <c r="D2302">
        <v>9565</v>
      </c>
      <c r="E2302">
        <v>9605</v>
      </c>
      <c r="F2302">
        <v>9666</v>
      </c>
    </row>
    <row r="2303" spans="1:6" x14ac:dyDescent="0.25">
      <c r="A2303" s="1">
        <v>42158</v>
      </c>
      <c r="B2303">
        <v>9635</v>
      </c>
      <c r="C2303">
        <v>9646</v>
      </c>
      <c r="D2303">
        <v>9535</v>
      </c>
      <c r="E2303">
        <v>9548</v>
      </c>
      <c r="F2303">
        <v>9643.4</v>
      </c>
    </row>
    <row r="2304" spans="1:6" x14ac:dyDescent="0.25">
      <c r="A2304" s="1">
        <v>42159</v>
      </c>
      <c r="B2304">
        <v>9533</v>
      </c>
      <c r="C2304">
        <v>9554</v>
      </c>
      <c r="D2304">
        <v>9300</v>
      </c>
      <c r="E2304">
        <v>9310</v>
      </c>
      <c r="F2304">
        <v>9559.4</v>
      </c>
    </row>
    <row r="2305" spans="1:6" x14ac:dyDescent="0.25">
      <c r="A2305" s="1">
        <v>42160</v>
      </c>
      <c r="B2305">
        <v>9321</v>
      </c>
      <c r="C2305">
        <v>9347</v>
      </c>
      <c r="D2305">
        <v>9268</v>
      </c>
      <c r="E2305">
        <v>9309</v>
      </c>
      <c r="F2305">
        <v>9480.6</v>
      </c>
    </row>
    <row r="2306" spans="1:6" x14ac:dyDescent="0.25">
      <c r="A2306" s="1">
        <v>42163</v>
      </c>
      <c r="B2306">
        <v>9310</v>
      </c>
      <c r="C2306">
        <v>9403</v>
      </c>
      <c r="D2306">
        <v>9236</v>
      </c>
      <c r="E2306">
        <v>9350</v>
      </c>
      <c r="F2306">
        <v>9424.4</v>
      </c>
    </row>
    <row r="2307" spans="1:6" x14ac:dyDescent="0.25">
      <c r="A2307" s="1">
        <v>42164</v>
      </c>
      <c r="B2307">
        <v>9300</v>
      </c>
      <c r="C2307">
        <v>9346</v>
      </c>
      <c r="D2307">
        <v>9201</v>
      </c>
      <c r="E2307">
        <v>9237</v>
      </c>
      <c r="F2307">
        <v>9350.7999999999993</v>
      </c>
    </row>
    <row r="2308" spans="1:6" x14ac:dyDescent="0.25">
      <c r="A2308" s="1">
        <v>42165</v>
      </c>
      <c r="B2308">
        <v>9256</v>
      </c>
      <c r="C2308">
        <v>9328</v>
      </c>
      <c r="D2308">
        <v>9253</v>
      </c>
      <c r="E2308">
        <v>9287</v>
      </c>
      <c r="F2308">
        <v>9298.6</v>
      </c>
    </row>
    <row r="2309" spans="1:6" x14ac:dyDescent="0.25">
      <c r="A2309" s="1">
        <v>42166</v>
      </c>
      <c r="B2309">
        <v>9332</v>
      </c>
      <c r="C2309">
        <v>9333</v>
      </c>
      <c r="D2309">
        <v>9224</v>
      </c>
      <c r="E2309">
        <v>9286</v>
      </c>
      <c r="F2309">
        <v>9293.7999999999993</v>
      </c>
    </row>
    <row r="2310" spans="1:6" x14ac:dyDescent="0.25">
      <c r="A2310" s="1">
        <v>42167</v>
      </c>
      <c r="B2310">
        <v>9277</v>
      </c>
      <c r="C2310">
        <v>9314</v>
      </c>
      <c r="D2310">
        <v>9231</v>
      </c>
      <c r="E2310">
        <v>9267</v>
      </c>
      <c r="F2310">
        <v>9285.4</v>
      </c>
    </row>
    <row r="2311" spans="1:6" x14ac:dyDescent="0.25">
      <c r="A2311" s="1">
        <v>42170</v>
      </c>
      <c r="B2311">
        <v>9268</v>
      </c>
      <c r="C2311">
        <v>9318</v>
      </c>
      <c r="D2311">
        <v>9220</v>
      </c>
      <c r="E2311">
        <v>9245</v>
      </c>
      <c r="F2311">
        <v>9264.4</v>
      </c>
    </row>
    <row r="2312" spans="1:6" x14ac:dyDescent="0.25">
      <c r="A2312" s="1">
        <v>42171</v>
      </c>
      <c r="B2312">
        <v>9245</v>
      </c>
      <c r="C2312">
        <v>9258</v>
      </c>
      <c r="D2312">
        <v>9164</v>
      </c>
      <c r="E2312">
        <v>9215</v>
      </c>
      <c r="F2312">
        <v>9260</v>
      </c>
    </row>
    <row r="2313" spans="1:6" x14ac:dyDescent="0.25">
      <c r="A2313" s="1">
        <v>42172</v>
      </c>
      <c r="B2313">
        <v>9217</v>
      </c>
      <c r="C2313">
        <v>9236</v>
      </c>
      <c r="D2313">
        <v>9177</v>
      </c>
      <c r="E2313">
        <v>9180</v>
      </c>
      <c r="F2313">
        <v>9238.6</v>
      </c>
    </row>
    <row r="2314" spans="1:6" x14ac:dyDescent="0.25">
      <c r="A2314" s="1">
        <v>42173</v>
      </c>
      <c r="B2314">
        <v>9046</v>
      </c>
      <c r="C2314">
        <v>9077</v>
      </c>
      <c r="D2314">
        <v>9011</v>
      </c>
      <c r="E2314">
        <v>9049</v>
      </c>
      <c r="F2314">
        <v>9191.2000000000007</v>
      </c>
    </row>
    <row r="2315" spans="1:6" x14ac:dyDescent="0.25">
      <c r="A2315" s="1">
        <v>42177</v>
      </c>
      <c r="B2315">
        <v>9100</v>
      </c>
      <c r="C2315">
        <v>9202</v>
      </c>
      <c r="D2315">
        <v>9099</v>
      </c>
      <c r="E2315">
        <v>9180</v>
      </c>
      <c r="F2315">
        <v>9173.7999999999993</v>
      </c>
    </row>
    <row r="2316" spans="1:6" x14ac:dyDescent="0.25">
      <c r="A2316" s="1">
        <v>42178</v>
      </c>
      <c r="B2316">
        <v>9223</v>
      </c>
      <c r="C2316">
        <v>9267</v>
      </c>
      <c r="D2316">
        <v>9208</v>
      </c>
      <c r="E2316">
        <v>9232</v>
      </c>
      <c r="F2316">
        <v>9171.2000000000007</v>
      </c>
    </row>
    <row r="2317" spans="1:6" x14ac:dyDescent="0.25">
      <c r="A2317" s="1">
        <v>42179</v>
      </c>
      <c r="B2317">
        <v>9213</v>
      </c>
      <c r="C2317">
        <v>9248</v>
      </c>
      <c r="D2317">
        <v>9192</v>
      </c>
      <c r="E2317">
        <v>9247</v>
      </c>
      <c r="F2317">
        <v>9177.6</v>
      </c>
    </row>
    <row r="2318" spans="1:6" x14ac:dyDescent="0.25">
      <c r="A2318" s="1">
        <v>42180</v>
      </c>
      <c r="B2318">
        <v>9265</v>
      </c>
      <c r="C2318">
        <v>9370</v>
      </c>
      <c r="D2318">
        <v>9263</v>
      </c>
      <c r="E2318">
        <v>9343</v>
      </c>
      <c r="F2318">
        <v>9210.2000000000007</v>
      </c>
    </row>
    <row r="2319" spans="1:6" x14ac:dyDescent="0.25">
      <c r="A2319" s="1">
        <v>42181</v>
      </c>
      <c r="B2319">
        <v>9345</v>
      </c>
      <c r="C2319">
        <v>9346</v>
      </c>
      <c r="D2319">
        <v>9300</v>
      </c>
      <c r="E2319">
        <v>9324</v>
      </c>
      <c r="F2319">
        <v>9265.2000000000007</v>
      </c>
    </row>
    <row r="2320" spans="1:6" x14ac:dyDescent="0.25">
      <c r="A2320" s="1">
        <v>42184</v>
      </c>
      <c r="B2320">
        <v>9201</v>
      </c>
      <c r="C2320">
        <v>9223</v>
      </c>
      <c r="D2320">
        <v>9109</v>
      </c>
      <c r="E2320">
        <v>9138</v>
      </c>
      <c r="F2320">
        <v>9256.7999999999993</v>
      </c>
    </row>
    <row r="2321" spans="1:6" x14ac:dyDescent="0.25">
      <c r="A2321" s="1">
        <v>42185</v>
      </c>
      <c r="B2321">
        <v>9144</v>
      </c>
      <c r="C2321">
        <v>9217</v>
      </c>
      <c r="D2321">
        <v>9125</v>
      </c>
      <c r="E2321">
        <v>9211</v>
      </c>
      <c r="F2321">
        <v>9252.6</v>
      </c>
    </row>
    <row r="2322" spans="1:6" x14ac:dyDescent="0.25">
      <c r="A2322" s="1">
        <v>42186</v>
      </c>
      <c r="B2322">
        <v>9188</v>
      </c>
      <c r="C2322">
        <v>9318</v>
      </c>
      <c r="D2322">
        <v>9185</v>
      </c>
      <c r="E2322">
        <v>9292</v>
      </c>
      <c r="F2322">
        <v>9261.6</v>
      </c>
    </row>
    <row r="2323" spans="1:6" x14ac:dyDescent="0.25">
      <c r="A2323" s="1">
        <v>42187</v>
      </c>
      <c r="B2323">
        <v>9302</v>
      </c>
      <c r="C2323">
        <v>9324</v>
      </c>
      <c r="D2323">
        <v>9260</v>
      </c>
      <c r="E2323">
        <v>9276</v>
      </c>
      <c r="F2323">
        <v>9248.2000000000007</v>
      </c>
    </row>
    <row r="2324" spans="1:6" x14ac:dyDescent="0.25">
      <c r="A2324" s="1">
        <v>42188</v>
      </c>
      <c r="B2324">
        <v>9257</v>
      </c>
      <c r="C2324">
        <v>9308</v>
      </c>
      <c r="D2324">
        <v>9171</v>
      </c>
      <c r="E2324">
        <v>9308</v>
      </c>
      <c r="F2324">
        <v>9245</v>
      </c>
    </row>
    <row r="2325" spans="1:6" x14ac:dyDescent="0.25">
      <c r="A2325" s="1">
        <v>42191</v>
      </c>
      <c r="B2325">
        <v>9239</v>
      </c>
      <c r="C2325">
        <v>9296</v>
      </c>
      <c r="D2325">
        <v>9182</v>
      </c>
      <c r="E2325">
        <v>9201</v>
      </c>
      <c r="F2325">
        <v>9257.6</v>
      </c>
    </row>
    <row r="2326" spans="1:6" x14ac:dyDescent="0.25">
      <c r="A2326" s="1">
        <v>42192</v>
      </c>
      <c r="B2326">
        <v>9258</v>
      </c>
      <c r="C2326">
        <v>9302</v>
      </c>
      <c r="D2326">
        <v>9211</v>
      </c>
      <c r="E2326">
        <v>9245</v>
      </c>
      <c r="F2326">
        <v>9264.4</v>
      </c>
    </row>
    <row r="2327" spans="1:6" x14ac:dyDescent="0.25">
      <c r="A2327" s="1">
        <v>42193</v>
      </c>
      <c r="B2327">
        <v>9214</v>
      </c>
      <c r="C2327">
        <v>9214</v>
      </c>
      <c r="D2327">
        <v>8911</v>
      </c>
      <c r="E2327">
        <v>8945</v>
      </c>
      <c r="F2327">
        <v>9195</v>
      </c>
    </row>
    <row r="2328" spans="1:6" x14ac:dyDescent="0.25">
      <c r="A2328" s="1">
        <v>42194</v>
      </c>
      <c r="B2328">
        <v>8802</v>
      </c>
      <c r="C2328">
        <v>8939</v>
      </c>
      <c r="D2328">
        <v>8723</v>
      </c>
      <c r="E2328">
        <v>8876</v>
      </c>
      <c r="F2328">
        <v>9115</v>
      </c>
    </row>
    <row r="2329" spans="1:6" x14ac:dyDescent="0.25">
      <c r="A2329" s="1">
        <v>42198</v>
      </c>
      <c r="B2329">
        <v>8942</v>
      </c>
      <c r="C2329">
        <v>9004</v>
      </c>
      <c r="D2329">
        <v>8902</v>
      </c>
      <c r="E2329">
        <v>8992</v>
      </c>
      <c r="F2329">
        <v>9051.7999999999993</v>
      </c>
    </row>
    <row r="2330" spans="1:6" x14ac:dyDescent="0.25">
      <c r="A2330" s="1">
        <v>42199</v>
      </c>
      <c r="B2330">
        <v>9047</v>
      </c>
      <c r="C2330">
        <v>9084</v>
      </c>
      <c r="D2330">
        <v>8981</v>
      </c>
      <c r="E2330">
        <v>8984</v>
      </c>
      <c r="F2330">
        <v>9008.4</v>
      </c>
    </row>
    <row r="2331" spans="1:6" x14ac:dyDescent="0.25">
      <c r="A2331" s="1">
        <v>42200</v>
      </c>
      <c r="B2331">
        <v>9039</v>
      </c>
      <c r="C2331">
        <v>9078</v>
      </c>
      <c r="D2331">
        <v>8989</v>
      </c>
      <c r="E2331">
        <v>9030</v>
      </c>
      <c r="F2331">
        <v>8965.4</v>
      </c>
    </row>
    <row r="2332" spans="1:6" x14ac:dyDescent="0.25">
      <c r="A2332" s="1">
        <v>42201</v>
      </c>
      <c r="B2332">
        <v>8933</v>
      </c>
      <c r="C2332">
        <v>8982</v>
      </c>
      <c r="D2332">
        <v>8900</v>
      </c>
      <c r="E2332">
        <v>8918</v>
      </c>
      <c r="F2332">
        <v>8960</v>
      </c>
    </row>
    <row r="2333" spans="1:6" x14ac:dyDescent="0.25">
      <c r="A2333" s="1">
        <v>42202</v>
      </c>
      <c r="B2333">
        <v>8910</v>
      </c>
      <c r="C2333">
        <v>8935</v>
      </c>
      <c r="D2333">
        <v>8870</v>
      </c>
      <c r="E2333">
        <v>8912</v>
      </c>
      <c r="F2333">
        <v>8967.2000000000007</v>
      </c>
    </row>
    <row r="2334" spans="1:6" x14ac:dyDescent="0.25">
      <c r="A2334" s="1">
        <v>42205</v>
      </c>
      <c r="B2334">
        <v>8963</v>
      </c>
      <c r="C2334">
        <v>9026</v>
      </c>
      <c r="D2334">
        <v>8805</v>
      </c>
      <c r="E2334">
        <v>8850</v>
      </c>
      <c r="F2334">
        <v>8938.7999999999993</v>
      </c>
    </row>
    <row r="2335" spans="1:6" x14ac:dyDescent="0.25">
      <c r="A2335" s="1">
        <v>42206</v>
      </c>
      <c r="B2335">
        <v>8881</v>
      </c>
      <c r="C2335">
        <v>8940</v>
      </c>
      <c r="D2335">
        <v>8816</v>
      </c>
      <c r="E2335">
        <v>8937</v>
      </c>
      <c r="F2335">
        <v>8929.4</v>
      </c>
    </row>
    <row r="2336" spans="1:6" x14ac:dyDescent="0.25">
      <c r="A2336" s="1">
        <v>42207</v>
      </c>
      <c r="B2336">
        <v>8886</v>
      </c>
      <c r="C2336">
        <v>8887</v>
      </c>
      <c r="D2336">
        <v>8795</v>
      </c>
      <c r="E2336">
        <v>8810</v>
      </c>
      <c r="F2336">
        <v>8885.4</v>
      </c>
    </row>
    <row r="2337" spans="1:6" x14ac:dyDescent="0.25">
      <c r="A2337" s="1">
        <v>42208</v>
      </c>
      <c r="B2337">
        <v>8780</v>
      </c>
      <c r="C2337">
        <v>8822</v>
      </c>
      <c r="D2337">
        <v>8670</v>
      </c>
      <c r="E2337">
        <v>8752</v>
      </c>
      <c r="F2337">
        <v>8852.2000000000007</v>
      </c>
    </row>
    <row r="2338" spans="1:6" x14ac:dyDescent="0.25">
      <c r="A2338" s="1">
        <v>42209</v>
      </c>
      <c r="B2338">
        <v>8713</v>
      </c>
      <c r="C2338">
        <v>8740</v>
      </c>
      <c r="D2338">
        <v>8653</v>
      </c>
      <c r="E2338">
        <v>8683</v>
      </c>
      <c r="F2338">
        <v>8806.4</v>
      </c>
    </row>
    <row r="2339" spans="1:6" x14ac:dyDescent="0.25">
      <c r="A2339" s="1">
        <v>42212</v>
      </c>
      <c r="B2339">
        <v>8638</v>
      </c>
      <c r="C2339">
        <v>8670</v>
      </c>
      <c r="D2339">
        <v>8493</v>
      </c>
      <c r="E2339">
        <v>8524</v>
      </c>
      <c r="F2339">
        <v>8741.2000000000007</v>
      </c>
    </row>
    <row r="2340" spans="1:6" x14ac:dyDescent="0.25">
      <c r="A2340" s="1">
        <v>42213</v>
      </c>
      <c r="B2340">
        <v>8500</v>
      </c>
      <c r="C2340">
        <v>8590</v>
      </c>
      <c r="D2340">
        <v>8480</v>
      </c>
      <c r="E2340">
        <v>8541</v>
      </c>
      <c r="F2340">
        <v>8662</v>
      </c>
    </row>
    <row r="2341" spans="1:6" x14ac:dyDescent="0.25">
      <c r="A2341" s="1">
        <v>42214</v>
      </c>
      <c r="B2341">
        <v>8536</v>
      </c>
      <c r="C2341">
        <v>8548</v>
      </c>
      <c r="D2341">
        <v>8439</v>
      </c>
      <c r="E2341">
        <v>8486</v>
      </c>
      <c r="F2341">
        <v>8597.2000000000007</v>
      </c>
    </row>
    <row r="2342" spans="1:6" x14ac:dyDescent="0.25">
      <c r="A2342" s="1">
        <v>42215</v>
      </c>
      <c r="B2342">
        <v>8523</v>
      </c>
      <c r="C2342">
        <v>8632</v>
      </c>
      <c r="D2342">
        <v>8510</v>
      </c>
      <c r="E2342">
        <v>8610</v>
      </c>
      <c r="F2342">
        <v>8568.7999999999993</v>
      </c>
    </row>
    <row r="2343" spans="1:6" x14ac:dyDescent="0.25">
      <c r="A2343" s="1">
        <v>42216</v>
      </c>
      <c r="B2343">
        <v>8598</v>
      </c>
      <c r="C2343">
        <v>8606</v>
      </c>
      <c r="D2343">
        <v>8508</v>
      </c>
      <c r="E2343">
        <v>8575</v>
      </c>
      <c r="F2343">
        <v>8547.2000000000007</v>
      </c>
    </row>
    <row r="2344" spans="1:6" x14ac:dyDescent="0.25">
      <c r="A2344" s="1">
        <v>42219</v>
      </c>
      <c r="B2344">
        <v>8548</v>
      </c>
      <c r="C2344">
        <v>8548</v>
      </c>
      <c r="D2344">
        <v>8400</v>
      </c>
      <c r="E2344">
        <v>8455</v>
      </c>
      <c r="F2344">
        <v>8533.4</v>
      </c>
    </row>
    <row r="2345" spans="1:6" x14ac:dyDescent="0.25">
      <c r="A2345" s="1">
        <v>42220</v>
      </c>
      <c r="B2345">
        <v>8483</v>
      </c>
      <c r="C2345">
        <v>8552</v>
      </c>
      <c r="D2345">
        <v>8416</v>
      </c>
      <c r="E2345">
        <v>8461</v>
      </c>
      <c r="F2345">
        <v>8517.4</v>
      </c>
    </row>
    <row r="2346" spans="1:6" x14ac:dyDescent="0.25">
      <c r="A2346" s="1">
        <v>42221</v>
      </c>
      <c r="B2346">
        <v>8500</v>
      </c>
      <c r="C2346">
        <v>8547</v>
      </c>
      <c r="D2346">
        <v>8447</v>
      </c>
      <c r="E2346">
        <v>8524</v>
      </c>
      <c r="F2346">
        <v>8525</v>
      </c>
    </row>
    <row r="2347" spans="1:6" x14ac:dyDescent="0.25">
      <c r="A2347" s="1">
        <v>42222</v>
      </c>
      <c r="B2347">
        <v>8538</v>
      </c>
      <c r="C2347">
        <v>8579</v>
      </c>
      <c r="D2347">
        <v>8366</v>
      </c>
      <c r="E2347">
        <v>8390</v>
      </c>
      <c r="F2347">
        <v>8481</v>
      </c>
    </row>
    <row r="2348" spans="1:6" x14ac:dyDescent="0.25">
      <c r="A2348" s="1">
        <v>42223</v>
      </c>
      <c r="B2348">
        <v>8355</v>
      </c>
      <c r="C2348">
        <v>8422</v>
      </c>
      <c r="D2348">
        <v>8311</v>
      </c>
      <c r="E2348">
        <v>8391</v>
      </c>
      <c r="F2348">
        <v>8444.2000000000007</v>
      </c>
    </row>
    <row r="2349" spans="1:6" x14ac:dyDescent="0.25">
      <c r="A2349" s="1">
        <v>42226</v>
      </c>
      <c r="B2349">
        <v>8402</v>
      </c>
      <c r="C2349">
        <v>8461</v>
      </c>
      <c r="D2349">
        <v>8345</v>
      </c>
      <c r="E2349">
        <v>8445</v>
      </c>
      <c r="F2349">
        <v>8442.2000000000007</v>
      </c>
    </row>
    <row r="2350" spans="1:6" x14ac:dyDescent="0.25">
      <c r="A2350" s="1">
        <v>42227</v>
      </c>
      <c r="B2350">
        <v>8505</v>
      </c>
      <c r="C2350">
        <v>8555</v>
      </c>
      <c r="D2350">
        <v>8358</v>
      </c>
      <c r="E2350">
        <v>8358</v>
      </c>
      <c r="F2350">
        <v>8421.6</v>
      </c>
    </row>
    <row r="2351" spans="1:6" x14ac:dyDescent="0.25">
      <c r="A2351" s="1">
        <v>42228</v>
      </c>
      <c r="B2351">
        <v>8362</v>
      </c>
      <c r="C2351">
        <v>8390</v>
      </c>
      <c r="D2351">
        <v>8242</v>
      </c>
      <c r="E2351">
        <v>8301</v>
      </c>
      <c r="F2351">
        <v>8377</v>
      </c>
    </row>
    <row r="2352" spans="1:6" x14ac:dyDescent="0.25">
      <c r="A2352" s="1">
        <v>42229</v>
      </c>
      <c r="B2352">
        <v>8347</v>
      </c>
      <c r="C2352">
        <v>8364</v>
      </c>
      <c r="D2352">
        <v>8275</v>
      </c>
      <c r="E2352">
        <v>8309</v>
      </c>
      <c r="F2352">
        <v>8360.7999999999993</v>
      </c>
    </row>
    <row r="2353" spans="1:6" x14ac:dyDescent="0.25">
      <c r="A2353" s="1">
        <v>42230</v>
      </c>
      <c r="B2353">
        <v>8263</v>
      </c>
      <c r="C2353">
        <v>8333</v>
      </c>
      <c r="D2353">
        <v>8262</v>
      </c>
      <c r="E2353">
        <v>8330</v>
      </c>
      <c r="F2353">
        <v>8348.6</v>
      </c>
    </row>
    <row r="2354" spans="1:6" x14ac:dyDescent="0.25">
      <c r="A2354" s="1">
        <v>42233</v>
      </c>
      <c r="B2354">
        <v>8332</v>
      </c>
      <c r="C2354">
        <v>8333</v>
      </c>
      <c r="D2354">
        <v>8224</v>
      </c>
      <c r="E2354">
        <v>8239</v>
      </c>
      <c r="F2354">
        <v>8307.4</v>
      </c>
    </row>
    <row r="2355" spans="1:6" x14ac:dyDescent="0.25">
      <c r="A2355" s="1">
        <v>42234</v>
      </c>
      <c r="B2355">
        <v>8236</v>
      </c>
      <c r="C2355">
        <v>8276</v>
      </c>
      <c r="D2355">
        <v>8161</v>
      </c>
      <c r="E2355">
        <v>8172</v>
      </c>
      <c r="F2355">
        <v>8270.2000000000007</v>
      </c>
    </row>
    <row r="2356" spans="1:6" x14ac:dyDescent="0.25">
      <c r="A2356" s="1">
        <v>42235</v>
      </c>
      <c r="B2356">
        <v>8184</v>
      </c>
      <c r="C2356">
        <v>8184</v>
      </c>
      <c r="D2356">
        <v>7993</v>
      </c>
      <c r="E2356">
        <v>8001</v>
      </c>
      <c r="F2356">
        <v>8210.2000000000007</v>
      </c>
    </row>
    <row r="2357" spans="1:6" x14ac:dyDescent="0.25">
      <c r="A2357" s="1">
        <v>42236</v>
      </c>
      <c r="B2357">
        <v>7950</v>
      </c>
      <c r="C2357">
        <v>8040</v>
      </c>
      <c r="D2357">
        <v>7898</v>
      </c>
      <c r="E2357">
        <v>7973</v>
      </c>
      <c r="F2357">
        <v>8143</v>
      </c>
    </row>
    <row r="2358" spans="1:6" x14ac:dyDescent="0.25">
      <c r="A2358" s="1">
        <v>42237</v>
      </c>
      <c r="B2358">
        <v>7869</v>
      </c>
      <c r="C2358">
        <v>7887</v>
      </c>
      <c r="D2358">
        <v>7739</v>
      </c>
      <c r="E2358">
        <v>7747</v>
      </c>
      <c r="F2358">
        <v>8026.4</v>
      </c>
    </row>
    <row r="2359" spans="1:6" x14ac:dyDescent="0.25">
      <c r="A2359" s="1">
        <v>42240</v>
      </c>
      <c r="B2359">
        <v>7600</v>
      </c>
      <c r="C2359">
        <v>7676</v>
      </c>
      <c r="D2359">
        <v>7000</v>
      </c>
      <c r="E2359">
        <v>7345</v>
      </c>
      <c r="F2359">
        <v>7847.6</v>
      </c>
    </row>
    <row r="2360" spans="1:6" x14ac:dyDescent="0.25">
      <c r="A2360" s="1">
        <v>42241</v>
      </c>
      <c r="B2360">
        <v>7401</v>
      </c>
      <c r="C2360">
        <v>7607</v>
      </c>
      <c r="D2360">
        <v>7317</v>
      </c>
      <c r="E2360">
        <v>7576</v>
      </c>
      <c r="F2360">
        <v>7728.4</v>
      </c>
    </row>
    <row r="2361" spans="1:6" x14ac:dyDescent="0.25">
      <c r="A2361" s="1">
        <v>42242</v>
      </c>
      <c r="B2361">
        <v>7516</v>
      </c>
      <c r="C2361">
        <v>7678</v>
      </c>
      <c r="D2361">
        <v>7432</v>
      </c>
      <c r="E2361">
        <v>7609</v>
      </c>
      <c r="F2361">
        <v>7650</v>
      </c>
    </row>
    <row r="2362" spans="1:6" x14ac:dyDescent="0.25">
      <c r="A2362" s="1">
        <v>42243</v>
      </c>
      <c r="B2362">
        <v>7660</v>
      </c>
      <c r="C2362">
        <v>7728</v>
      </c>
      <c r="D2362">
        <v>7631</v>
      </c>
      <c r="E2362">
        <v>7681</v>
      </c>
      <c r="F2362">
        <v>7591.6</v>
      </c>
    </row>
    <row r="2363" spans="1:6" x14ac:dyDescent="0.25">
      <c r="A2363" s="1">
        <v>42244</v>
      </c>
      <c r="B2363">
        <v>7808</v>
      </c>
      <c r="C2363">
        <v>7901</v>
      </c>
      <c r="D2363">
        <v>7791</v>
      </c>
      <c r="E2363">
        <v>7873</v>
      </c>
      <c r="F2363">
        <v>7616.8</v>
      </c>
    </row>
    <row r="2364" spans="1:6" x14ac:dyDescent="0.25">
      <c r="A2364" s="1">
        <v>42247</v>
      </c>
      <c r="B2364">
        <v>7835</v>
      </c>
      <c r="C2364">
        <v>8033</v>
      </c>
      <c r="D2364">
        <v>7803</v>
      </c>
      <c r="E2364">
        <v>7970</v>
      </c>
      <c r="F2364">
        <v>7741.8</v>
      </c>
    </row>
    <row r="2365" spans="1:6" x14ac:dyDescent="0.25">
      <c r="A2365" s="1">
        <v>42248</v>
      </c>
      <c r="B2365">
        <v>7908</v>
      </c>
      <c r="C2365">
        <v>7964</v>
      </c>
      <c r="D2365">
        <v>7803</v>
      </c>
      <c r="E2365">
        <v>7830</v>
      </c>
      <c r="F2365">
        <v>7792.6</v>
      </c>
    </row>
    <row r="2366" spans="1:6" x14ac:dyDescent="0.25">
      <c r="A2366" s="1">
        <v>42249</v>
      </c>
      <c r="B2366">
        <v>7760</v>
      </c>
      <c r="C2366">
        <v>7997</v>
      </c>
      <c r="D2366">
        <v>7760</v>
      </c>
      <c r="E2366">
        <v>7942</v>
      </c>
      <c r="F2366">
        <v>7859.2</v>
      </c>
    </row>
    <row r="2367" spans="1:6" x14ac:dyDescent="0.25">
      <c r="A2367" s="1">
        <v>42250</v>
      </c>
      <c r="B2367">
        <v>7971</v>
      </c>
      <c r="C2367">
        <v>8003</v>
      </c>
      <c r="D2367">
        <v>7874</v>
      </c>
      <c r="E2367">
        <v>7977</v>
      </c>
      <c r="F2367">
        <v>7918.4</v>
      </c>
    </row>
    <row r="2368" spans="1:6" x14ac:dyDescent="0.25">
      <c r="A2368" s="1">
        <v>42251</v>
      </c>
      <c r="B2368">
        <v>7929</v>
      </c>
      <c r="C2368">
        <v>8039</v>
      </c>
      <c r="D2368">
        <v>7872</v>
      </c>
      <c r="E2368">
        <v>7891</v>
      </c>
      <c r="F2368">
        <v>7922</v>
      </c>
    </row>
    <row r="2369" spans="1:6" x14ac:dyDescent="0.25">
      <c r="A2369" s="1">
        <v>42254</v>
      </c>
      <c r="B2369">
        <v>7851</v>
      </c>
      <c r="C2369">
        <v>8007</v>
      </c>
      <c r="D2369">
        <v>7843</v>
      </c>
      <c r="E2369">
        <v>7930</v>
      </c>
      <c r="F2369">
        <v>7914</v>
      </c>
    </row>
    <row r="2370" spans="1:6" x14ac:dyDescent="0.25">
      <c r="A2370" s="1">
        <v>42255</v>
      </c>
      <c r="B2370">
        <v>7930</v>
      </c>
      <c r="C2370">
        <v>7979</v>
      </c>
      <c r="D2370">
        <v>7880</v>
      </c>
      <c r="E2370">
        <v>7973</v>
      </c>
      <c r="F2370">
        <v>7942.6</v>
      </c>
    </row>
    <row r="2371" spans="1:6" x14ac:dyDescent="0.25">
      <c r="A2371" s="1">
        <v>42256</v>
      </c>
      <c r="B2371">
        <v>8116</v>
      </c>
      <c r="C2371">
        <v>8340</v>
      </c>
      <c r="D2371">
        <v>8103</v>
      </c>
      <c r="E2371">
        <v>8335</v>
      </c>
      <c r="F2371">
        <v>8021.2</v>
      </c>
    </row>
    <row r="2372" spans="1:6" x14ac:dyDescent="0.25">
      <c r="A2372" s="1">
        <v>42257</v>
      </c>
      <c r="B2372">
        <v>8235</v>
      </c>
      <c r="C2372">
        <v>8292</v>
      </c>
      <c r="D2372">
        <v>8192</v>
      </c>
      <c r="E2372">
        <v>8269</v>
      </c>
      <c r="F2372">
        <v>8079.6</v>
      </c>
    </row>
    <row r="2373" spans="1:6" x14ac:dyDescent="0.25">
      <c r="A2373" s="1">
        <v>42258</v>
      </c>
      <c r="B2373">
        <v>8225</v>
      </c>
      <c r="C2373">
        <v>8295</v>
      </c>
      <c r="D2373">
        <v>8202</v>
      </c>
      <c r="E2373">
        <v>8268</v>
      </c>
      <c r="F2373">
        <v>8155</v>
      </c>
    </row>
    <row r="2374" spans="1:6" x14ac:dyDescent="0.25">
      <c r="A2374" s="1">
        <v>42261</v>
      </c>
      <c r="B2374">
        <v>8316</v>
      </c>
      <c r="C2374">
        <v>8338</v>
      </c>
      <c r="D2374">
        <v>8210</v>
      </c>
      <c r="E2374">
        <v>8275</v>
      </c>
      <c r="F2374">
        <v>8224</v>
      </c>
    </row>
    <row r="2375" spans="1:6" x14ac:dyDescent="0.25">
      <c r="A2375" s="1">
        <v>42262</v>
      </c>
      <c r="B2375">
        <v>8299</v>
      </c>
      <c r="C2375">
        <v>8332</v>
      </c>
      <c r="D2375">
        <v>8230</v>
      </c>
      <c r="E2375">
        <v>8237</v>
      </c>
      <c r="F2375">
        <v>8276.7999999999993</v>
      </c>
    </row>
    <row r="2376" spans="1:6" x14ac:dyDescent="0.25">
      <c r="A2376" s="1">
        <v>42263</v>
      </c>
      <c r="B2376">
        <v>8308</v>
      </c>
      <c r="C2376">
        <v>8357</v>
      </c>
      <c r="D2376">
        <v>8270</v>
      </c>
      <c r="E2376">
        <v>8319</v>
      </c>
      <c r="F2376">
        <v>8273.6</v>
      </c>
    </row>
    <row r="2377" spans="1:6" x14ac:dyDescent="0.25">
      <c r="A2377" s="1">
        <v>42264</v>
      </c>
      <c r="B2377">
        <v>8365</v>
      </c>
      <c r="C2377">
        <v>8477</v>
      </c>
      <c r="D2377">
        <v>8365</v>
      </c>
      <c r="E2377">
        <v>8444</v>
      </c>
      <c r="F2377">
        <v>8308.6</v>
      </c>
    </row>
    <row r="2378" spans="1:6" x14ac:dyDescent="0.25">
      <c r="A2378" s="1">
        <v>42265</v>
      </c>
      <c r="B2378">
        <v>8412</v>
      </c>
      <c r="C2378">
        <v>8459</v>
      </c>
      <c r="D2378">
        <v>8383</v>
      </c>
      <c r="E2378">
        <v>8440</v>
      </c>
      <c r="F2378">
        <v>8343</v>
      </c>
    </row>
    <row r="2379" spans="1:6" x14ac:dyDescent="0.25">
      <c r="A2379" s="1">
        <v>42268</v>
      </c>
      <c r="B2379">
        <v>8328</v>
      </c>
      <c r="C2379">
        <v>8335</v>
      </c>
      <c r="D2379">
        <v>8233</v>
      </c>
      <c r="E2379">
        <v>8268</v>
      </c>
      <c r="F2379">
        <v>8341.6</v>
      </c>
    </row>
    <row r="2380" spans="1:6" x14ac:dyDescent="0.25">
      <c r="A2380" s="1">
        <v>42269</v>
      </c>
      <c r="B2380">
        <v>8296</v>
      </c>
      <c r="C2380">
        <v>8340</v>
      </c>
      <c r="D2380">
        <v>8276</v>
      </c>
      <c r="E2380">
        <v>8334</v>
      </c>
      <c r="F2380">
        <v>8361</v>
      </c>
    </row>
    <row r="2381" spans="1:6" x14ac:dyDescent="0.25">
      <c r="A2381" s="1">
        <v>42270</v>
      </c>
      <c r="B2381">
        <v>8241</v>
      </c>
      <c r="C2381">
        <v>8250</v>
      </c>
      <c r="D2381">
        <v>8136</v>
      </c>
      <c r="E2381">
        <v>8140</v>
      </c>
      <c r="F2381">
        <v>8325.2000000000007</v>
      </c>
    </row>
    <row r="2382" spans="1:6" x14ac:dyDescent="0.25">
      <c r="A2382" s="1">
        <v>42271</v>
      </c>
      <c r="B2382">
        <v>8182</v>
      </c>
      <c r="C2382">
        <v>8219</v>
      </c>
      <c r="D2382">
        <v>8048</v>
      </c>
      <c r="E2382">
        <v>8092</v>
      </c>
      <c r="F2382">
        <v>8254.7999999999993</v>
      </c>
    </row>
    <row r="2383" spans="1:6" x14ac:dyDescent="0.25">
      <c r="A2383" s="1">
        <v>42272</v>
      </c>
      <c r="B2383">
        <v>8141</v>
      </c>
      <c r="C2383">
        <v>8152</v>
      </c>
      <c r="D2383">
        <v>8033</v>
      </c>
      <c r="E2383">
        <v>8125</v>
      </c>
      <c r="F2383">
        <v>8191.8</v>
      </c>
    </row>
    <row r="2384" spans="1:6" x14ac:dyDescent="0.25">
      <c r="A2384" s="1">
        <v>42277</v>
      </c>
      <c r="B2384">
        <v>8024</v>
      </c>
      <c r="C2384">
        <v>8177</v>
      </c>
      <c r="D2384">
        <v>7982</v>
      </c>
      <c r="E2384">
        <v>8137</v>
      </c>
      <c r="F2384">
        <v>8165.6</v>
      </c>
    </row>
    <row r="2385" spans="1:6" x14ac:dyDescent="0.25">
      <c r="A2385" s="1">
        <v>42278</v>
      </c>
      <c r="B2385">
        <v>8180</v>
      </c>
      <c r="C2385">
        <v>8328</v>
      </c>
      <c r="D2385">
        <v>8115</v>
      </c>
      <c r="E2385">
        <v>8308</v>
      </c>
      <c r="F2385">
        <v>8160.4</v>
      </c>
    </row>
    <row r="2386" spans="1:6" x14ac:dyDescent="0.25">
      <c r="A2386" s="1">
        <v>42279</v>
      </c>
      <c r="B2386">
        <v>8282</v>
      </c>
      <c r="C2386">
        <v>8319</v>
      </c>
      <c r="D2386">
        <v>8255</v>
      </c>
      <c r="E2386">
        <v>8276</v>
      </c>
      <c r="F2386">
        <v>8187.6</v>
      </c>
    </row>
    <row r="2387" spans="1:6" x14ac:dyDescent="0.25">
      <c r="A2387" s="1">
        <v>42282</v>
      </c>
      <c r="B2387">
        <v>8353</v>
      </c>
      <c r="C2387">
        <v>8377</v>
      </c>
      <c r="D2387">
        <v>8276</v>
      </c>
      <c r="E2387">
        <v>8332</v>
      </c>
      <c r="F2387">
        <v>8235.6</v>
      </c>
    </row>
    <row r="2388" spans="1:6" x14ac:dyDescent="0.25">
      <c r="A2388" s="1">
        <v>42283</v>
      </c>
      <c r="B2388">
        <v>8439</v>
      </c>
      <c r="C2388">
        <v>8480</v>
      </c>
      <c r="D2388">
        <v>8365</v>
      </c>
      <c r="E2388">
        <v>8369</v>
      </c>
      <c r="F2388">
        <v>8284.4</v>
      </c>
    </row>
    <row r="2389" spans="1:6" x14ac:dyDescent="0.25">
      <c r="A2389" s="1">
        <v>42284</v>
      </c>
      <c r="B2389">
        <v>8378</v>
      </c>
      <c r="C2389">
        <v>8498</v>
      </c>
      <c r="D2389">
        <v>8356</v>
      </c>
      <c r="E2389">
        <v>8494</v>
      </c>
      <c r="F2389">
        <v>8355.7999999999993</v>
      </c>
    </row>
    <row r="2390" spans="1:6" x14ac:dyDescent="0.25">
      <c r="A2390" s="1">
        <v>42285</v>
      </c>
      <c r="B2390">
        <v>8535</v>
      </c>
      <c r="C2390">
        <v>8544</v>
      </c>
      <c r="D2390">
        <v>8422</v>
      </c>
      <c r="E2390">
        <v>8442</v>
      </c>
      <c r="F2390">
        <v>8382.6</v>
      </c>
    </row>
    <row r="2391" spans="1:6" x14ac:dyDescent="0.25">
      <c r="A2391" s="1">
        <v>42289</v>
      </c>
      <c r="B2391">
        <v>8488</v>
      </c>
      <c r="C2391">
        <v>8580</v>
      </c>
      <c r="D2391">
        <v>8464</v>
      </c>
      <c r="E2391">
        <v>8554</v>
      </c>
      <c r="F2391">
        <v>8438.2000000000007</v>
      </c>
    </row>
    <row r="2392" spans="1:6" x14ac:dyDescent="0.25">
      <c r="A2392" s="1">
        <v>42290</v>
      </c>
      <c r="B2392">
        <v>8563</v>
      </c>
      <c r="C2392">
        <v>8575</v>
      </c>
      <c r="D2392">
        <v>8511</v>
      </c>
      <c r="E2392">
        <v>8556</v>
      </c>
      <c r="F2392">
        <v>8483</v>
      </c>
    </row>
    <row r="2393" spans="1:6" x14ac:dyDescent="0.25">
      <c r="A2393" s="1">
        <v>42291</v>
      </c>
      <c r="B2393">
        <v>8524</v>
      </c>
      <c r="C2393">
        <v>8554</v>
      </c>
      <c r="D2393">
        <v>8491</v>
      </c>
      <c r="E2393">
        <v>8520</v>
      </c>
      <c r="F2393">
        <v>8513.2000000000007</v>
      </c>
    </row>
    <row r="2394" spans="1:6" x14ac:dyDescent="0.25">
      <c r="A2394" s="1">
        <v>42292</v>
      </c>
      <c r="B2394">
        <v>8559</v>
      </c>
      <c r="C2394">
        <v>8667</v>
      </c>
      <c r="D2394">
        <v>8556</v>
      </c>
      <c r="E2394">
        <v>8611</v>
      </c>
      <c r="F2394">
        <v>8536.6</v>
      </c>
    </row>
    <row r="2395" spans="1:6" x14ac:dyDescent="0.25">
      <c r="A2395" s="1">
        <v>42293</v>
      </c>
      <c r="B2395">
        <v>8588</v>
      </c>
      <c r="C2395">
        <v>8626</v>
      </c>
      <c r="D2395">
        <v>8571</v>
      </c>
      <c r="E2395">
        <v>8609</v>
      </c>
      <c r="F2395">
        <v>8570</v>
      </c>
    </row>
    <row r="2396" spans="1:6" x14ac:dyDescent="0.25">
      <c r="A2396" s="1">
        <v>42296</v>
      </c>
      <c r="B2396">
        <v>8629</v>
      </c>
      <c r="C2396">
        <v>8670</v>
      </c>
      <c r="D2396">
        <v>8589</v>
      </c>
      <c r="E2396">
        <v>8622</v>
      </c>
      <c r="F2396">
        <v>8583.6</v>
      </c>
    </row>
    <row r="2397" spans="1:6" x14ac:dyDescent="0.25">
      <c r="A2397" s="1">
        <v>42297</v>
      </c>
      <c r="B2397">
        <v>8638</v>
      </c>
      <c r="C2397">
        <v>8663</v>
      </c>
      <c r="D2397">
        <v>8630</v>
      </c>
      <c r="E2397">
        <v>8660</v>
      </c>
      <c r="F2397">
        <v>8604.4</v>
      </c>
    </row>
    <row r="2398" spans="1:6" x14ac:dyDescent="0.25">
      <c r="A2398" s="1">
        <v>42298</v>
      </c>
      <c r="B2398">
        <v>8690</v>
      </c>
      <c r="C2398">
        <v>8704</v>
      </c>
      <c r="D2398">
        <v>8592</v>
      </c>
      <c r="E2398">
        <v>8617</v>
      </c>
      <c r="F2398">
        <v>8623.7999999999993</v>
      </c>
    </row>
    <row r="2399" spans="1:6" x14ac:dyDescent="0.25">
      <c r="A2399" s="1">
        <v>42299</v>
      </c>
      <c r="B2399">
        <v>8589</v>
      </c>
      <c r="C2399">
        <v>8633</v>
      </c>
      <c r="D2399">
        <v>8566</v>
      </c>
      <c r="E2399">
        <v>8596</v>
      </c>
      <c r="F2399">
        <v>8620.7999999999993</v>
      </c>
    </row>
    <row r="2400" spans="1:6" x14ac:dyDescent="0.25">
      <c r="A2400" s="1">
        <v>42300</v>
      </c>
      <c r="B2400">
        <v>8742</v>
      </c>
      <c r="C2400">
        <v>8752</v>
      </c>
      <c r="D2400">
        <v>8669</v>
      </c>
      <c r="E2400">
        <v>8694</v>
      </c>
      <c r="F2400">
        <v>8637.7999999999993</v>
      </c>
    </row>
    <row r="2401" spans="1:6" x14ac:dyDescent="0.25">
      <c r="A2401" s="1">
        <v>42303</v>
      </c>
      <c r="B2401">
        <v>8730</v>
      </c>
      <c r="C2401">
        <v>8766</v>
      </c>
      <c r="D2401">
        <v>8717</v>
      </c>
      <c r="E2401">
        <v>8734</v>
      </c>
      <c r="F2401">
        <v>8660.2000000000007</v>
      </c>
    </row>
    <row r="2402" spans="1:6" x14ac:dyDescent="0.25">
      <c r="A2402" s="1">
        <v>42304</v>
      </c>
      <c r="B2402">
        <v>8721</v>
      </c>
      <c r="C2402">
        <v>8728</v>
      </c>
      <c r="D2402">
        <v>8655</v>
      </c>
      <c r="E2402">
        <v>8694</v>
      </c>
      <c r="F2402">
        <v>8667</v>
      </c>
    </row>
    <row r="2403" spans="1:6" x14ac:dyDescent="0.25">
      <c r="A2403" s="1">
        <v>42305</v>
      </c>
      <c r="B2403">
        <v>8681</v>
      </c>
      <c r="C2403">
        <v>8710</v>
      </c>
      <c r="D2403">
        <v>8613</v>
      </c>
      <c r="E2403">
        <v>8638</v>
      </c>
      <c r="F2403">
        <v>8671.2000000000007</v>
      </c>
    </row>
    <row r="2404" spans="1:6" x14ac:dyDescent="0.25">
      <c r="A2404" s="1">
        <v>42306</v>
      </c>
      <c r="B2404">
        <v>8680</v>
      </c>
      <c r="C2404">
        <v>8685</v>
      </c>
      <c r="D2404">
        <v>8545</v>
      </c>
      <c r="E2404">
        <v>8548</v>
      </c>
      <c r="F2404">
        <v>8661.6</v>
      </c>
    </row>
    <row r="2405" spans="1:6" x14ac:dyDescent="0.25">
      <c r="A2405" s="1">
        <v>42307</v>
      </c>
      <c r="B2405">
        <v>8558</v>
      </c>
      <c r="C2405">
        <v>8599</v>
      </c>
      <c r="D2405">
        <v>8484</v>
      </c>
      <c r="E2405">
        <v>8570</v>
      </c>
      <c r="F2405">
        <v>8636.7999999999993</v>
      </c>
    </row>
    <row r="2406" spans="1:6" x14ac:dyDescent="0.25">
      <c r="A2406" s="1">
        <v>42310</v>
      </c>
      <c r="B2406">
        <v>8533</v>
      </c>
      <c r="C2406">
        <v>8597</v>
      </c>
      <c r="D2406">
        <v>8502</v>
      </c>
      <c r="E2406">
        <v>8587</v>
      </c>
      <c r="F2406">
        <v>8607.4</v>
      </c>
    </row>
    <row r="2407" spans="1:6" x14ac:dyDescent="0.25">
      <c r="A2407" s="1">
        <v>42311</v>
      </c>
      <c r="B2407">
        <v>8660</v>
      </c>
      <c r="C2407">
        <v>8740</v>
      </c>
      <c r="D2407">
        <v>8646</v>
      </c>
      <c r="E2407">
        <v>8722</v>
      </c>
      <c r="F2407">
        <v>8613</v>
      </c>
    </row>
    <row r="2408" spans="1:6" x14ac:dyDescent="0.25">
      <c r="A2408" s="1">
        <v>42312</v>
      </c>
      <c r="B2408">
        <v>8764</v>
      </c>
      <c r="C2408">
        <v>8899</v>
      </c>
      <c r="D2408">
        <v>8751</v>
      </c>
      <c r="E2408">
        <v>8884</v>
      </c>
      <c r="F2408">
        <v>8662.2000000000007</v>
      </c>
    </row>
    <row r="2409" spans="1:6" x14ac:dyDescent="0.25">
      <c r="A2409" s="1">
        <v>42313</v>
      </c>
      <c r="B2409">
        <v>8877</v>
      </c>
      <c r="C2409">
        <v>8898</v>
      </c>
      <c r="D2409">
        <v>8831</v>
      </c>
      <c r="E2409">
        <v>8873</v>
      </c>
      <c r="F2409">
        <v>8727.2000000000007</v>
      </c>
    </row>
    <row r="2410" spans="1:6" x14ac:dyDescent="0.25">
      <c r="A2410" s="1">
        <v>42314</v>
      </c>
      <c r="B2410">
        <v>8853</v>
      </c>
      <c r="C2410">
        <v>8859</v>
      </c>
      <c r="D2410">
        <v>8650</v>
      </c>
      <c r="E2410">
        <v>8689</v>
      </c>
      <c r="F2410">
        <v>8751</v>
      </c>
    </row>
    <row r="2411" spans="1:6" x14ac:dyDescent="0.25">
      <c r="A2411" s="1">
        <v>42317</v>
      </c>
      <c r="B2411">
        <v>8685</v>
      </c>
      <c r="C2411">
        <v>8747</v>
      </c>
      <c r="D2411">
        <v>8598</v>
      </c>
      <c r="E2411">
        <v>8627</v>
      </c>
      <c r="F2411">
        <v>8759</v>
      </c>
    </row>
    <row r="2412" spans="1:6" x14ac:dyDescent="0.25">
      <c r="A2412" s="1">
        <v>42318</v>
      </c>
      <c r="B2412">
        <v>8580</v>
      </c>
      <c r="C2412">
        <v>8594</v>
      </c>
      <c r="D2412">
        <v>8512</v>
      </c>
      <c r="E2412">
        <v>8532</v>
      </c>
      <c r="F2412">
        <v>8721</v>
      </c>
    </row>
    <row r="2413" spans="1:6" x14ac:dyDescent="0.25">
      <c r="A2413" s="1">
        <v>42319</v>
      </c>
      <c r="B2413">
        <v>8505</v>
      </c>
      <c r="C2413">
        <v>8549</v>
      </c>
      <c r="D2413">
        <v>8372</v>
      </c>
      <c r="E2413">
        <v>8377</v>
      </c>
      <c r="F2413">
        <v>8619.6</v>
      </c>
    </row>
    <row r="2414" spans="1:6" x14ac:dyDescent="0.25">
      <c r="A2414" s="1">
        <v>42320</v>
      </c>
      <c r="B2414">
        <v>8399</v>
      </c>
      <c r="C2414">
        <v>8461</v>
      </c>
      <c r="D2414">
        <v>8354</v>
      </c>
      <c r="E2414">
        <v>8461</v>
      </c>
      <c r="F2414">
        <v>8537.2000000000007</v>
      </c>
    </row>
    <row r="2415" spans="1:6" x14ac:dyDescent="0.25">
      <c r="A2415" s="1">
        <v>42321</v>
      </c>
      <c r="B2415">
        <v>8386</v>
      </c>
      <c r="C2415">
        <v>8475</v>
      </c>
      <c r="D2415">
        <v>8318</v>
      </c>
      <c r="E2415">
        <v>8356</v>
      </c>
      <c r="F2415">
        <v>8470.6</v>
      </c>
    </row>
    <row r="2416" spans="1:6" x14ac:dyDescent="0.25">
      <c r="A2416" s="1">
        <v>42324</v>
      </c>
      <c r="B2416">
        <v>8250</v>
      </c>
      <c r="C2416">
        <v>8306</v>
      </c>
      <c r="D2416">
        <v>8212</v>
      </c>
      <c r="E2416">
        <v>8287</v>
      </c>
      <c r="F2416">
        <v>8402.6</v>
      </c>
    </row>
    <row r="2417" spans="1:6" x14ac:dyDescent="0.25">
      <c r="A2417" s="1">
        <v>42325</v>
      </c>
      <c r="B2417">
        <v>8371</v>
      </c>
      <c r="C2417">
        <v>8490</v>
      </c>
      <c r="D2417">
        <v>8371</v>
      </c>
      <c r="E2417">
        <v>8439</v>
      </c>
      <c r="F2417">
        <v>8384</v>
      </c>
    </row>
    <row r="2418" spans="1:6" x14ac:dyDescent="0.25">
      <c r="A2418" s="1">
        <v>42326</v>
      </c>
      <c r="B2418">
        <v>8437</v>
      </c>
      <c r="C2418">
        <v>8450</v>
      </c>
      <c r="D2418">
        <v>8325</v>
      </c>
      <c r="E2418">
        <v>8336</v>
      </c>
      <c r="F2418">
        <v>8375.7999999999993</v>
      </c>
    </row>
    <row r="2419" spans="1:6" x14ac:dyDescent="0.25">
      <c r="A2419" s="1">
        <v>42327</v>
      </c>
      <c r="B2419">
        <v>8366</v>
      </c>
      <c r="C2419">
        <v>8460</v>
      </c>
      <c r="D2419">
        <v>8323</v>
      </c>
      <c r="E2419">
        <v>8450</v>
      </c>
      <c r="F2419">
        <v>8373.6</v>
      </c>
    </row>
    <row r="2420" spans="1:6" x14ac:dyDescent="0.25">
      <c r="A2420" s="1">
        <v>42328</v>
      </c>
      <c r="B2420">
        <v>8435</v>
      </c>
      <c r="C2420">
        <v>8475</v>
      </c>
      <c r="D2420">
        <v>8397</v>
      </c>
      <c r="E2420">
        <v>8445</v>
      </c>
      <c r="F2420">
        <v>8391.4</v>
      </c>
    </row>
    <row r="2421" spans="1:6" x14ac:dyDescent="0.25">
      <c r="A2421" s="1">
        <v>42331</v>
      </c>
      <c r="B2421">
        <v>8487</v>
      </c>
      <c r="C2421">
        <v>8510</v>
      </c>
      <c r="D2421">
        <v>8407</v>
      </c>
      <c r="E2421">
        <v>8480</v>
      </c>
      <c r="F2421">
        <v>8430</v>
      </c>
    </row>
    <row r="2422" spans="1:6" x14ac:dyDescent="0.25">
      <c r="A2422" s="1">
        <v>42332</v>
      </c>
      <c r="B2422">
        <v>8461</v>
      </c>
      <c r="C2422">
        <v>8494</v>
      </c>
      <c r="D2422">
        <v>8363</v>
      </c>
      <c r="E2422">
        <v>8403</v>
      </c>
      <c r="F2422">
        <v>8422.7999999999993</v>
      </c>
    </row>
    <row r="2423" spans="1:6" x14ac:dyDescent="0.25">
      <c r="A2423" s="1">
        <v>42333</v>
      </c>
      <c r="B2423">
        <v>8415</v>
      </c>
      <c r="C2423">
        <v>8420</v>
      </c>
      <c r="D2423">
        <v>8320</v>
      </c>
      <c r="E2423">
        <v>8387</v>
      </c>
      <c r="F2423">
        <v>8433</v>
      </c>
    </row>
    <row r="2424" spans="1:6" x14ac:dyDescent="0.25">
      <c r="A2424" s="1">
        <v>42334</v>
      </c>
      <c r="B2424">
        <v>8405</v>
      </c>
      <c r="C2424">
        <v>8525</v>
      </c>
      <c r="D2424">
        <v>8405</v>
      </c>
      <c r="E2424">
        <v>8502</v>
      </c>
      <c r="F2424">
        <v>8443.4</v>
      </c>
    </row>
    <row r="2425" spans="1:6" x14ac:dyDescent="0.25">
      <c r="A2425" s="1">
        <v>42335</v>
      </c>
      <c r="B2425">
        <v>8518</v>
      </c>
      <c r="C2425">
        <v>8534</v>
      </c>
      <c r="D2425">
        <v>8377</v>
      </c>
      <c r="E2425">
        <v>8391</v>
      </c>
      <c r="F2425">
        <v>8432.6</v>
      </c>
    </row>
    <row r="2426" spans="1:6" x14ac:dyDescent="0.25">
      <c r="A2426" s="1">
        <v>42338</v>
      </c>
      <c r="B2426">
        <v>8321</v>
      </c>
      <c r="C2426">
        <v>8345</v>
      </c>
      <c r="D2426">
        <v>8203</v>
      </c>
      <c r="E2426">
        <v>8299</v>
      </c>
      <c r="F2426">
        <v>8396.4</v>
      </c>
    </row>
    <row r="2427" spans="1:6" x14ac:dyDescent="0.25">
      <c r="A2427" s="1">
        <v>42339</v>
      </c>
      <c r="B2427">
        <v>8355</v>
      </c>
      <c r="C2427">
        <v>8463</v>
      </c>
      <c r="D2427">
        <v>8317</v>
      </c>
      <c r="E2427">
        <v>8459</v>
      </c>
      <c r="F2427">
        <v>8407.6</v>
      </c>
    </row>
    <row r="2428" spans="1:6" x14ac:dyDescent="0.25">
      <c r="A2428" s="1">
        <v>42340</v>
      </c>
      <c r="B2428">
        <v>8429</v>
      </c>
      <c r="C2428">
        <v>8510</v>
      </c>
      <c r="D2428">
        <v>8415</v>
      </c>
      <c r="E2428">
        <v>8455</v>
      </c>
      <c r="F2428">
        <v>8421.2000000000007</v>
      </c>
    </row>
    <row r="2429" spans="1:6" x14ac:dyDescent="0.25">
      <c r="A2429" s="1">
        <v>42341</v>
      </c>
      <c r="B2429">
        <v>8394</v>
      </c>
      <c r="C2429">
        <v>8490</v>
      </c>
      <c r="D2429">
        <v>8363</v>
      </c>
      <c r="E2429">
        <v>8474</v>
      </c>
      <c r="F2429">
        <v>8415.6</v>
      </c>
    </row>
    <row r="2430" spans="1:6" x14ac:dyDescent="0.25">
      <c r="A2430" s="1">
        <v>42342</v>
      </c>
      <c r="B2430">
        <v>8365</v>
      </c>
      <c r="C2430">
        <v>8410</v>
      </c>
      <c r="D2430">
        <v>8325</v>
      </c>
      <c r="E2430">
        <v>8394</v>
      </c>
      <c r="F2430">
        <v>8416.2000000000007</v>
      </c>
    </row>
    <row r="2431" spans="1:6" x14ac:dyDescent="0.25">
      <c r="A2431" s="1">
        <v>42345</v>
      </c>
      <c r="B2431">
        <v>8500</v>
      </c>
      <c r="C2431">
        <v>8550</v>
      </c>
      <c r="D2431">
        <v>8453</v>
      </c>
      <c r="E2431">
        <v>8468</v>
      </c>
      <c r="F2431">
        <v>8450</v>
      </c>
    </row>
    <row r="2432" spans="1:6" x14ac:dyDescent="0.25">
      <c r="A2432" s="1">
        <v>42346</v>
      </c>
      <c r="B2432">
        <v>8440</v>
      </c>
      <c r="C2432">
        <v>8450</v>
      </c>
      <c r="D2432">
        <v>8319</v>
      </c>
      <c r="E2432">
        <v>8331</v>
      </c>
      <c r="F2432">
        <v>8424.4</v>
      </c>
    </row>
    <row r="2433" spans="1:6" x14ac:dyDescent="0.25">
      <c r="A2433" s="1">
        <v>42347</v>
      </c>
      <c r="B2433">
        <v>8303</v>
      </c>
      <c r="C2433">
        <v>8329</v>
      </c>
      <c r="D2433">
        <v>8213</v>
      </c>
      <c r="E2433">
        <v>8221</v>
      </c>
      <c r="F2433">
        <v>8377.6</v>
      </c>
    </row>
    <row r="2434" spans="1:6" x14ac:dyDescent="0.25">
      <c r="A2434" s="1">
        <v>42348</v>
      </c>
      <c r="B2434">
        <v>8183</v>
      </c>
      <c r="C2434">
        <v>8207</v>
      </c>
      <c r="D2434">
        <v>8101</v>
      </c>
      <c r="E2434">
        <v>8189</v>
      </c>
      <c r="F2434">
        <v>8320.6</v>
      </c>
    </row>
    <row r="2435" spans="1:6" x14ac:dyDescent="0.25">
      <c r="A2435" s="1">
        <v>42349</v>
      </c>
      <c r="B2435">
        <v>8210</v>
      </c>
      <c r="C2435">
        <v>8220</v>
      </c>
      <c r="D2435">
        <v>8067</v>
      </c>
      <c r="E2435">
        <v>8068</v>
      </c>
      <c r="F2435">
        <v>8255.4</v>
      </c>
    </row>
    <row r="2436" spans="1:6" x14ac:dyDescent="0.25">
      <c r="A2436" s="1">
        <v>42352</v>
      </c>
      <c r="B2436">
        <v>7963</v>
      </c>
      <c r="C2436">
        <v>8065</v>
      </c>
      <c r="D2436">
        <v>7948</v>
      </c>
      <c r="E2436">
        <v>8065</v>
      </c>
      <c r="F2436">
        <v>8174.8</v>
      </c>
    </row>
    <row r="2437" spans="1:6" x14ac:dyDescent="0.25">
      <c r="A2437" s="1">
        <v>42353</v>
      </c>
      <c r="B2437">
        <v>8088</v>
      </c>
      <c r="C2437">
        <v>8137</v>
      </c>
      <c r="D2437">
        <v>8048</v>
      </c>
      <c r="E2437">
        <v>8066</v>
      </c>
      <c r="F2437">
        <v>8121.8</v>
      </c>
    </row>
    <row r="2438" spans="1:6" x14ac:dyDescent="0.25">
      <c r="A2438" s="1">
        <v>42354</v>
      </c>
      <c r="B2438">
        <v>8177</v>
      </c>
      <c r="C2438">
        <v>8209</v>
      </c>
      <c r="D2438">
        <v>8112</v>
      </c>
      <c r="E2438">
        <v>8199</v>
      </c>
      <c r="F2438">
        <v>8117.4</v>
      </c>
    </row>
    <row r="2439" spans="1:6" x14ac:dyDescent="0.25">
      <c r="A2439" s="1">
        <v>42355</v>
      </c>
      <c r="B2439">
        <v>8210</v>
      </c>
      <c r="C2439">
        <v>8303</v>
      </c>
      <c r="D2439">
        <v>8177</v>
      </c>
      <c r="E2439">
        <v>8282</v>
      </c>
      <c r="F2439">
        <v>8136</v>
      </c>
    </row>
    <row r="2440" spans="1:6" x14ac:dyDescent="0.25">
      <c r="A2440" s="1">
        <v>42356</v>
      </c>
      <c r="B2440">
        <v>8240</v>
      </c>
      <c r="C2440">
        <v>8318</v>
      </c>
      <c r="D2440">
        <v>8207</v>
      </c>
      <c r="E2440">
        <v>8230</v>
      </c>
      <c r="F2440">
        <v>8168.4</v>
      </c>
    </row>
    <row r="2441" spans="1:6" x14ac:dyDescent="0.25">
      <c r="A2441" s="1">
        <v>42359</v>
      </c>
      <c r="B2441">
        <v>8170</v>
      </c>
      <c r="C2441">
        <v>8284</v>
      </c>
      <c r="D2441">
        <v>8132</v>
      </c>
      <c r="E2441">
        <v>8283</v>
      </c>
      <c r="F2441">
        <v>8212</v>
      </c>
    </row>
    <row r="2442" spans="1:6" x14ac:dyDescent="0.25">
      <c r="A2442" s="1">
        <v>42360</v>
      </c>
      <c r="B2442">
        <v>8255</v>
      </c>
      <c r="C2442">
        <v>8297</v>
      </c>
      <c r="D2442">
        <v>8221</v>
      </c>
      <c r="E2442">
        <v>8276</v>
      </c>
      <c r="F2442">
        <v>8254</v>
      </c>
    </row>
    <row r="2443" spans="1:6" x14ac:dyDescent="0.25">
      <c r="A2443" s="1">
        <v>42361</v>
      </c>
      <c r="B2443">
        <v>8304</v>
      </c>
      <c r="C2443">
        <v>8346</v>
      </c>
      <c r="D2443">
        <v>8267</v>
      </c>
      <c r="E2443">
        <v>8286</v>
      </c>
      <c r="F2443">
        <v>8271.4</v>
      </c>
    </row>
    <row r="2444" spans="1:6" x14ac:dyDescent="0.25">
      <c r="A2444" s="1">
        <v>42362</v>
      </c>
      <c r="B2444">
        <v>8345</v>
      </c>
      <c r="C2444">
        <v>8388</v>
      </c>
      <c r="D2444">
        <v>8293</v>
      </c>
      <c r="E2444">
        <v>8315</v>
      </c>
      <c r="F2444">
        <v>8278</v>
      </c>
    </row>
    <row r="2445" spans="1:6" x14ac:dyDescent="0.25">
      <c r="A2445" s="1">
        <v>42363</v>
      </c>
      <c r="B2445">
        <v>8333</v>
      </c>
      <c r="C2445">
        <v>8378</v>
      </c>
      <c r="D2445">
        <v>8306</v>
      </c>
      <c r="E2445">
        <v>8377</v>
      </c>
      <c r="F2445">
        <v>8307.4</v>
      </c>
    </row>
    <row r="2446" spans="1:6" x14ac:dyDescent="0.25">
      <c r="A2446" s="1">
        <v>42366</v>
      </c>
      <c r="B2446">
        <v>8374</v>
      </c>
      <c r="C2446">
        <v>8394</v>
      </c>
      <c r="D2446">
        <v>8350</v>
      </c>
      <c r="E2446">
        <v>8353</v>
      </c>
      <c r="F2446">
        <v>8321.4</v>
      </c>
    </row>
    <row r="2447" spans="1:6" x14ac:dyDescent="0.25">
      <c r="A2447" s="1">
        <v>42367</v>
      </c>
      <c r="B2447">
        <v>8323</v>
      </c>
      <c r="C2447">
        <v>8346</v>
      </c>
      <c r="D2447">
        <v>8263</v>
      </c>
      <c r="E2447">
        <v>8288</v>
      </c>
      <c r="F2447">
        <v>8323.7999999999993</v>
      </c>
    </row>
    <row r="2448" spans="1:6" x14ac:dyDescent="0.25">
      <c r="A2448" s="1">
        <v>42368</v>
      </c>
      <c r="B2448">
        <v>8318</v>
      </c>
      <c r="C2448">
        <v>8329</v>
      </c>
      <c r="D2448">
        <v>8226</v>
      </c>
      <c r="E2448">
        <v>8257</v>
      </c>
      <c r="F2448">
        <v>8318</v>
      </c>
    </row>
    <row r="2449" spans="1:6" x14ac:dyDescent="0.25">
      <c r="A2449" s="1">
        <v>42369</v>
      </c>
      <c r="B2449">
        <v>8230</v>
      </c>
      <c r="C2449">
        <v>8300</v>
      </c>
      <c r="D2449">
        <v>8230</v>
      </c>
      <c r="E2449">
        <v>8272</v>
      </c>
      <c r="F2449">
        <v>8309.4</v>
      </c>
    </row>
    <row r="2450" spans="1:6" x14ac:dyDescent="0.25">
      <c r="A2450" s="1">
        <v>42373</v>
      </c>
      <c r="B2450">
        <v>8261</v>
      </c>
      <c r="C2450">
        <v>8294</v>
      </c>
      <c r="D2450">
        <v>8036</v>
      </c>
      <c r="E2450">
        <v>8070</v>
      </c>
      <c r="F2450">
        <v>8248</v>
      </c>
    </row>
    <row r="2451" spans="1:6" x14ac:dyDescent="0.25">
      <c r="A2451" s="1">
        <v>42374</v>
      </c>
      <c r="B2451">
        <v>8095</v>
      </c>
      <c r="C2451">
        <v>8130</v>
      </c>
      <c r="D2451">
        <v>8011</v>
      </c>
      <c r="E2451">
        <v>8025</v>
      </c>
      <c r="F2451">
        <v>8182.4</v>
      </c>
    </row>
    <row r="2452" spans="1:6" x14ac:dyDescent="0.25">
      <c r="A2452" s="1">
        <v>42375</v>
      </c>
      <c r="B2452">
        <v>8038</v>
      </c>
      <c r="C2452">
        <v>8048</v>
      </c>
      <c r="D2452">
        <v>7901</v>
      </c>
      <c r="E2452">
        <v>7969</v>
      </c>
      <c r="F2452">
        <v>8118.6</v>
      </c>
    </row>
    <row r="2453" spans="1:6" x14ac:dyDescent="0.25">
      <c r="A2453" s="1">
        <v>42376</v>
      </c>
      <c r="B2453">
        <v>7953</v>
      </c>
      <c r="C2453">
        <v>7971</v>
      </c>
      <c r="D2453">
        <v>7731</v>
      </c>
      <c r="E2453">
        <v>7802</v>
      </c>
      <c r="F2453">
        <v>8027.6</v>
      </c>
    </row>
    <row r="2454" spans="1:6" x14ac:dyDescent="0.25">
      <c r="A2454" s="1">
        <v>42377</v>
      </c>
      <c r="B2454">
        <v>7755</v>
      </c>
      <c r="C2454">
        <v>7884</v>
      </c>
      <c r="D2454">
        <v>7734</v>
      </c>
      <c r="E2454">
        <v>7868</v>
      </c>
      <c r="F2454">
        <v>7946.8</v>
      </c>
    </row>
    <row r="2455" spans="1:6" x14ac:dyDescent="0.25">
      <c r="A2455" s="1">
        <v>42380</v>
      </c>
      <c r="B2455">
        <v>7738</v>
      </c>
      <c r="C2455">
        <v>7793</v>
      </c>
      <c r="D2455">
        <v>7672</v>
      </c>
      <c r="E2455">
        <v>7741</v>
      </c>
      <c r="F2455">
        <v>7881</v>
      </c>
    </row>
    <row r="2456" spans="1:6" x14ac:dyDescent="0.25">
      <c r="A2456" s="1">
        <v>42381</v>
      </c>
      <c r="B2456">
        <v>7792</v>
      </c>
      <c r="C2456">
        <v>7807</v>
      </c>
      <c r="D2456">
        <v>7680</v>
      </c>
      <c r="E2456">
        <v>7705</v>
      </c>
      <c r="F2456">
        <v>7817</v>
      </c>
    </row>
    <row r="2457" spans="1:6" x14ac:dyDescent="0.25">
      <c r="A2457" s="1">
        <v>42382</v>
      </c>
      <c r="B2457">
        <v>7780</v>
      </c>
      <c r="C2457">
        <v>7849</v>
      </c>
      <c r="D2457">
        <v>7736</v>
      </c>
      <c r="E2457">
        <v>7809</v>
      </c>
      <c r="F2457">
        <v>7785</v>
      </c>
    </row>
    <row r="2458" spans="1:6" x14ac:dyDescent="0.25">
      <c r="A2458" s="1">
        <v>42383</v>
      </c>
      <c r="B2458">
        <v>7648</v>
      </c>
      <c r="C2458">
        <v>7724</v>
      </c>
      <c r="D2458">
        <v>7607</v>
      </c>
      <c r="E2458">
        <v>7716</v>
      </c>
      <c r="F2458">
        <v>7767.8</v>
      </c>
    </row>
    <row r="2459" spans="1:6" x14ac:dyDescent="0.25">
      <c r="A2459" s="1">
        <v>42384</v>
      </c>
      <c r="B2459">
        <v>7807</v>
      </c>
      <c r="C2459">
        <v>7810</v>
      </c>
      <c r="D2459">
        <v>7635</v>
      </c>
      <c r="E2459">
        <v>7665</v>
      </c>
      <c r="F2459">
        <v>7727.2</v>
      </c>
    </row>
    <row r="2460" spans="1:6" x14ac:dyDescent="0.25">
      <c r="A2460" s="1">
        <v>42387</v>
      </c>
      <c r="B2460">
        <v>7503</v>
      </c>
      <c r="C2460">
        <v>7828</v>
      </c>
      <c r="D2460">
        <v>7503</v>
      </c>
      <c r="E2460">
        <v>7812</v>
      </c>
      <c r="F2460">
        <v>7741.4</v>
      </c>
    </row>
    <row r="2461" spans="1:6" x14ac:dyDescent="0.25">
      <c r="A2461" s="1">
        <v>42388</v>
      </c>
      <c r="B2461">
        <v>7800</v>
      </c>
      <c r="C2461">
        <v>7869</v>
      </c>
      <c r="D2461">
        <v>7750</v>
      </c>
      <c r="E2461">
        <v>7869</v>
      </c>
      <c r="F2461">
        <v>7774.2</v>
      </c>
    </row>
    <row r="2462" spans="1:6" x14ac:dyDescent="0.25">
      <c r="A2462" s="1">
        <v>42389</v>
      </c>
      <c r="B2462">
        <v>7797</v>
      </c>
      <c r="C2462">
        <v>7804</v>
      </c>
      <c r="D2462">
        <v>7673</v>
      </c>
      <c r="E2462">
        <v>7703</v>
      </c>
      <c r="F2462">
        <v>7753</v>
      </c>
    </row>
    <row r="2463" spans="1:6" x14ac:dyDescent="0.25">
      <c r="A2463" s="1">
        <v>42390</v>
      </c>
      <c r="B2463">
        <v>7655</v>
      </c>
      <c r="C2463">
        <v>7707</v>
      </c>
      <c r="D2463">
        <v>7600</v>
      </c>
      <c r="E2463">
        <v>7616</v>
      </c>
      <c r="F2463">
        <v>7733</v>
      </c>
    </row>
    <row r="2464" spans="1:6" x14ac:dyDescent="0.25">
      <c r="A2464" s="1">
        <v>42391</v>
      </c>
      <c r="B2464">
        <v>7726</v>
      </c>
      <c r="C2464">
        <v>7753</v>
      </c>
      <c r="D2464">
        <v>7641</v>
      </c>
      <c r="E2464">
        <v>7748</v>
      </c>
      <c r="F2464">
        <v>7749.6</v>
      </c>
    </row>
    <row r="2465" spans="1:6" x14ac:dyDescent="0.25">
      <c r="A2465" s="1">
        <v>42394</v>
      </c>
      <c r="B2465">
        <v>7776</v>
      </c>
      <c r="C2465">
        <v>7881</v>
      </c>
      <c r="D2465">
        <v>7766</v>
      </c>
      <c r="E2465">
        <v>7835</v>
      </c>
      <c r="F2465">
        <v>7754.2</v>
      </c>
    </row>
    <row r="2466" spans="1:6" x14ac:dyDescent="0.25">
      <c r="A2466" s="1">
        <v>42395</v>
      </c>
      <c r="B2466">
        <v>7781</v>
      </c>
      <c r="C2466">
        <v>7809</v>
      </c>
      <c r="D2466">
        <v>7745</v>
      </c>
      <c r="E2466">
        <v>7779</v>
      </c>
      <c r="F2466">
        <v>7736.2</v>
      </c>
    </row>
    <row r="2467" spans="1:6" x14ac:dyDescent="0.25">
      <c r="A2467" s="1">
        <v>42396</v>
      </c>
      <c r="B2467">
        <v>7850</v>
      </c>
      <c r="C2467">
        <v>7860</v>
      </c>
      <c r="D2467">
        <v>7779</v>
      </c>
      <c r="E2467">
        <v>7837</v>
      </c>
      <c r="F2467">
        <v>7763</v>
      </c>
    </row>
    <row r="2468" spans="1:6" x14ac:dyDescent="0.25">
      <c r="A2468" s="1">
        <v>42397</v>
      </c>
      <c r="B2468">
        <v>7801</v>
      </c>
      <c r="C2468">
        <v>7903</v>
      </c>
      <c r="D2468">
        <v>7793</v>
      </c>
      <c r="E2468">
        <v>7859</v>
      </c>
      <c r="F2468">
        <v>7811.6</v>
      </c>
    </row>
    <row r="2469" spans="1:6" x14ac:dyDescent="0.25">
      <c r="A2469" s="1">
        <v>42398</v>
      </c>
      <c r="B2469">
        <v>7848</v>
      </c>
      <c r="C2469">
        <v>8074</v>
      </c>
      <c r="D2469">
        <v>7820</v>
      </c>
      <c r="E2469">
        <v>8053</v>
      </c>
      <c r="F2469">
        <v>7872.6</v>
      </c>
    </row>
    <row r="2470" spans="1:6" x14ac:dyDescent="0.25">
      <c r="A2470" s="1">
        <v>42399</v>
      </c>
      <c r="B2470">
        <v>8100</v>
      </c>
      <c r="C2470">
        <v>8168</v>
      </c>
      <c r="D2470">
        <v>8090</v>
      </c>
      <c r="E2470">
        <v>8163</v>
      </c>
      <c r="F2470">
        <v>7938.2</v>
      </c>
    </row>
    <row r="2471" spans="1:6" x14ac:dyDescent="0.25">
      <c r="A2471" s="1">
        <v>42401</v>
      </c>
      <c r="B2471">
        <v>8140</v>
      </c>
      <c r="C2471">
        <v>8150</v>
      </c>
      <c r="D2471">
        <v>8066</v>
      </c>
      <c r="E2471">
        <v>8126</v>
      </c>
      <c r="F2471">
        <v>8007.6</v>
      </c>
    </row>
    <row r="2472" spans="1:6" x14ac:dyDescent="0.25">
      <c r="A2472" s="1">
        <v>42402</v>
      </c>
      <c r="B2472">
        <v>8082</v>
      </c>
      <c r="C2472">
        <v>8148</v>
      </c>
      <c r="D2472">
        <v>8062</v>
      </c>
      <c r="E2472">
        <v>8106</v>
      </c>
      <c r="F2472">
        <v>8061.4</v>
      </c>
    </row>
    <row r="2473" spans="1:6" x14ac:dyDescent="0.25">
      <c r="A2473" s="1">
        <v>42403</v>
      </c>
      <c r="B2473">
        <v>8022</v>
      </c>
      <c r="C2473">
        <v>8085</v>
      </c>
      <c r="D2473">
        <v>7993</v>
      </c>
      <c r="E2473">
        <v>8034</v>
      </c>
      <c r="F2473">
        <v>8096.4</v>
      </c>
    </row>
    <row r="2474" spans="1:6" x14ac:dyDescent="0.25">
      <c r="A2474" s="1">
        <v>42415</v>
      </c>
      <c r="B2474">
        <v>7925</v>
      </c>
      <c r="C2474">
        <v>8068</v>
      </c>
      <c r="D2474">
        <v>7906</v>
      </c>
      <c r="E2474">
        <v>8046</v>
      </c>
      <c r="F2474">
        <v>8095</v>
      </c>
    </row>
    <row r="2475" spans="1:6" x14ac:dyDescent="0.25">
      <c r="A2475" s="1">
        <v>42416</v>
      </c>
      <c r="B2475">
        <v>8076</v>
      </c>
      <c r="C2475">
        <v>8232</v>
      </c>
      <c r="D2475">
        <v>8076</v>
      </c>
      <c r="E2475">
        <v>8207</v>
      </c>
      <c r="F2475">
        <v>8103.8</v>
      </c>
    </row>
    <row r="2476" spans="1:6" x14ac:dyDescent="0.25">
      <c r="A2476" s="1">
        <v>42417</v>
      </c>
      <c r="B2476">
        <v>8230</v>
      </c>
      <c r="C2476">
        <v>8252</v>
      </c>
      <c r="D2476">
        <v>8192</v>
      </c>
      <c r="E2476">
        <v>8212</v>
      </c>
      <c r="F2476">
        <v>8121</v>
      </c>
    </row>
    <row r="2477" spans="1:6" x14ac:dyDescent="0.25">
      <c r="A2477" s="1">
        <v>42418</v>
      </c>
      <c r="B2477">
        <v>8290</v>
      </c>
      <c r="C2477">
        <v>8332</v>
      </c>
      <c r="D2477">
        <v>8233</v>
      </c>
      <c r="E2477">
        <v>8285</v>
      </c>
      <c r="F2477">
        <v>8156.8</v>
      </c>
    </row>
    <row r="2478" spans="1:6" x14ac:dyDescent="0.25">
      <c r="A2478" s="1">
        <v>42419</v>
      </c>
      <c r="B2478">
        <v>8275</v>
      </c>
      <c r="C2478">
        <v>8318</v>
      </c>
      <c r="D2478">
        <v>8253</v>
      </c>
      <c r="E2478">
        <v>8306</v>
      </c>
      <c r="F2478">
        <v>8211.2000000000007</v>
      </c>
    </row>
    <row r="2479" spans="1:6" x14ac:dyDescent="0.25">
      <c r="A2479" s="1">
        <v>42422</v>
      </c>
      <c r="B2479">
        <v>8293</v>
      </c>
      <c r="C2479">
        <v>8404</v>
      </c>
      <c r="D2479">
        <v>8262</v>
      </c>
      <c r="E2479">
        <v>8299</v>
      </c>
      <c r="F2479">
        <v>8261.7999999999993</v>
      </c>
    </row>
    <row r="2480" spans="1:6" x14ac:dyDescent="0.25">
      <c r="A2480" s="1">
        <v>42423</v>
      </c>
      <c r="B2480">
        <v>8325</v>
      </c>
      <c r="C2480">
        <v>8330</v>
      </c>
      <c r="D2480">
        <v>8271</v>
      </c>
      <c r="E2480">
        <v>8319</v>
      </c>
      <c r="F2480">
        <v>8284.2000000000007</v>
      </c>
    </row>
    <row r="2481" spans="1:6" x14ac:dyDescent="0.25">
      <c r="A2481" s="1">
        <v>42424</v>
      </c>
      <c r="B2481">
        <v>8303</v>
      </c>
      <c r="C2481">
        <v>8382</v>
      </c>
      <c r="D2481">
        <v>8217</v>
      </c>
      <c r="E2481">
        <v>8246</v>
      </c>
      <c r="F2481">
        <v>8291</v>
      </c>
    </row>
    <row r="2482" spans="1:6" x14ac:dyDescent="0.25">
      <c r="A2482" s="1">
        <v>42425</v>
      </c>
      <c r="B2482">
        <v>8285</v>
      </c>
      <c r="C2482">
        <v>8375</v>
      </c>
      <c r="D2482">
        <v>8272</v>
      </c>
      <c r="E2482">
        <v>8339</v>
      </c>
      <c r="F2482">
        <v>8301.7999999999993</v>
      </c>
    </row>
    <row r="2483" spans="1:6" x14ac:dyDescent="0.25">
      <c r="A2483" s="1">
        <v>42426</v>
      </c>
      <c r="B2483">
        <v>8389</v>
      </c>
      <c r="C2483">
        <v>8416</v>
      </c>
      <c r="D2483">
        <v>8312</v>
      </c>
      <c r="E2483">
        <v>8391</v>
      </c>
      <c r="F2483">
        <v>8318.7999999999993</v>
      </c>
    </row>
    <row r="2484" spans="1:6" x14ac:dyDescent="0.25">
      <c r="A2484" s="1">
        <v>42430</v>
      </c>
      <c r="B2484">
        <v>8363</v>
      </c>
      <c r="C2484">
        <v>8484</v>
      </c>
      <c r="D2484">
        <v>8360</v>
      </c>
      <c r="E2484">
        <v>8450</v>
      </c>
      <c r="F2484">
        <v>8349</v>
      </c>
    </row>
    <row r="2485" spans="1:6" x14ac:dyDescent="0.25">
      <c r="A2485" s="1">
        <v>42431</v>
      </c>
      <c r="B2485">
        <v>8548</v>
      </c>
      <c r="C2485">
        <v>8575</v>
      </c>
      <c r="D2485">
        <v>8500</v>
      </c>
      <c r="E2485">
        <v>8520</v>
      </c>
      <c r="F2485">
        <v>8389.2000000000007</v>
      </c>
    </row>
    <row r="2486" spans="1:6" x14ac:dyDescent="0.25">
      <c r="A2486" s="1">
        <v>42432</v>
      </c>
      <c r="B2486">
        <v>8527</v>
      </c>
      <c r="C2486">
        <v>8605</v>
      </c>
      <c r="D2486">
        <v>8516</v>
      </c>
      <c r="E2486">
        <v>8565</v>
      </c>
      <c r="F2486">
        <v>8453</v>
      </c>
    </row>
    <row r="2487" spans="1:6" x14ac:dyDescent="0.25">
      <c r="A2487" s="1">
        <v>42433</v>
      </c>
      <c r="B2487">
        <v>8578</v>
      </c>
      <c r="C2487">
        <v>8618</v>
      </c>
      <c r="D2487">
        <v>8548</v>
      </c>
      <c r="E2487">
        <v>8605</v>
      </c>
      <c r="F2487">
        <v>8506.2000000000007</v>
      </c>
    </row>
    <row r="2488" spans="1:6" x14ac:dyDescent="0.25">
      <c r="A2488" s="1">
        <v>42436</v>
      </c>
      <c r="B2488">
        <v>8605</v>
      </c>
      <c r="C2488">
        <v>8684</v>
      </c>
      <c r="D2488">
        <v>8572</v>
      </c>
      <c r="E2488">
        <v>8605</v>
      </c>
      <c r="F2488">
        <v>8549</v>
      </c>
    </row>
    <row r="2489" spans="1:6" x14ac:dyDescent="0.25">
      <c r="A2489" s="1">
        <v>42437</v>
      </c>
      <c r="B2489">
        <v>8618</v>
      </c>
      <c r="C2489">
        <v>8620</v>
      </c>
      <c r="D2489">
        <v>8526</v>
      </c>
      <c r="E2489">
        <v>8615</v>
      </c>
      <c r="F2489">
        <v>8582</v>
      </c>
    </row>
    <row r="2490" spans="1:6" x14ac:dyDescent="0.25">
      <c r="A2490" s="1">
        <v>42438</v>
      </c>
      <c r="B2490">
        <v>8609</v>
      </c>
      <c r="C2490">
        <v>8632</v>
      </c>
      <c r="D2490">
        <v>8556</v>
      </c>
      <c r="E2490">
        <v>8621</v>
      </c>
      <c r="F2490">
        <v>8602.2000000000007</v>
      </c>
    </row>
    <row r="2491" spans="1:6" x14ac:dyDescent="0.25">
      <c r="A2491" s="1">
        <v>42439</v>
      </c>
      <c r="B2491">
        <v>8630</v>
      </c>
      <c r="C2491">
        <v>8675</v>
      </c>
      <c r="D2491">
        <v>8601</v>
      </c>
      <c r="E2491">
        <v>8641</v>
      </c>
      <c r="F2491">
        <v>8617.4</v>
      </c>
    </row>
    <row r="2492" spans="1:6" x14ac:dyDescent="0.25">
      <c r="A2492" s="1">
        <v>42440</v>
      </c>
      <c r="B2492">
        <v>8620</v>
      </c>
      <c r="C2492">
        <v>8709</v>
      </c>
      <c r="D2492">
        <v>8608</v>
      </c>
      <c r="E2492">
        <v>8709</v>
      </c>
      <c r="F2492">
        <v>8638.2000000000007</v>
      </c>
    </row>
    <row r="2493" spans="1:6" x14ac:dyDescent="0.25">
      <c r="A2493" s="1">
        <v>42443</v>
      </c>
      <c r="B2493">
        <v>8733</v>
      </c>
      <c r="C2493">
        <v>8778</v>
      </c>
      <c r="D2493">
        <v>8725</v>
      </c>
      <c r="E2493">
        <v>8741</v>
      </c>
      <c r="F2493">
        <v>8665.4</v>
      </c>
    </row>
    <row r="2494" spans="1:6" x14ac:dyDescent="0.25">
      <c r="A2494" s="1">
        <v>42444</v>
      </c>
      <c r="B2494">
        <v>8737</v>
      </c>
      <c r="C2494">
        <v>8750</v>
      </c>
      <c r="D2494">
        <v>8578</v>
      </c>
      <c r="E2494">
        <v>8601</v>
      </c>
      <c r="F2494">
        <v>8662.6</v>
      </c>
    </row>
    <row r="2495" spans="1:6" x14ac:dyDescent="0.25">
      <c r="A2495" s="1">
        <v>42445</v>
      </c>
      <c r="B2495">
        <v>8640</v>
      </c>
      <c r="C2495">
        <v>8705</v>
      </c>
      <c r="D2495">
        <v>8634</v>
      </c>
      <c r="E2495">
        <v>8691</v>
      </c>
      <c r="F2495">
        <v>8676.6</v>
      </c>
    </row>
    <row r="2496" spans="1:6" x14ac:dyDescent="0.25">
      <c r="A2496" s="1">
        <v>42446</v>
      </c>
      <c r="B2496">
        <v>8745</v>
      </c>
      <c r="C2496">
        <v>8819</v>
      </c>
      <c r="D2496">
        <v>8681</v>
      </c>
      <c r="E2496">
        <v>8697</v>
      </c>
      <c r="F2496">
        <v>8687.7999999999993</v>
      </c>
    </row>
    <row r="2497" spans="1:6" x14ac:dyDescent="0.25">
      <c r="A2497" s="1">
        <v>42447</v>
      </c>
      <c r="B2497">
        <v>8727</v>
      </c>
      <c r="C2497">
        <v>8778</v>
      </c>
      <c r="D2497">
        <v>8703</v>
      </c>
      <c r="E2497">
        <v>8767</v>
      </c>
      <c r="F2497">
        <v>8699.4</v>
      </c>
    </row>
  </sheetData>
  <mergeCells count="2">
    <mergeCell ref="X2:Y2"/>
    <mergeCell ref="Z2:AA2"/>
  </mergeCells>
  <phoneticPr fontId="18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7796小指近日線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鍾凱至 KentChung (Yuanta)</dc:creator>
  <cp:lastModifiedBy>鍾凱至</cp:lastModifiedBy>
  <dcterms:created xsi:type="dcterms:W3CDTF">2016-03-21T00:53:18Z</dcterms:created>
  <dcterms:modified xsi:type="dcterms:W3CDTF">2016-03-24T01:17:44Z</dcterms:modified>
</cp:coreProperties>
</file>